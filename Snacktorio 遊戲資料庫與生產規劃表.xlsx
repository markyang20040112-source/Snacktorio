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機器設備" sheetId="1" r:id="rId5"/>
    <sheet state="visible" name="中間配方" sheetId="2" r:id="rId6"/>
    <sheet state="visible" name="食材&amp;物品" sheetId="3" r:id="rId7"/>
    <sheet state="visible" name="食譜" sheetId="4" r:id="rId8"/>
    <sheet state="visible" name="圖片對照表" sheetId="5" r:id="rId9"/>
    <sheet state="visible" name="計算機參數庫" sheetId="6" r:id="rId10"/>
    <sheet state="visible" name="產線計算機" sheetId="7" r:id="rId11"/>
    <sheet state="visible" name="多料理並聯規劃" sheetId="8" r:id="rId12"/>
  </sheets>
  <definedNames/>
  <calcPr/>
</workbook>
</file>

<file path=xl/sharedStrings.xml><?xml version="1.0" encoding="utf-8"?>
<sst xmlns="http://schemas.openxmlformats.org/spreadsheetml/2006/main" count="4576" uniqueCount="654">
  <si>
    <t>所屬分類/島嶼</t>
  </si>
  <si>
    <t>食材/物品名稱</t>
  </si>
  <si>
    <t>取得或加工途徑</t>
  </si>
  <si>
    <t>是否會腐壞/發酵</t>
  </si>
  <si>
    <t>腐壞時間(秒)</t>
  </si>
  <si>
    <t>設備分類</t>
  </si>
  <si>
    <t>腐壞後轉化產物</t>
  </si>
  <si>
    <t>產物名稱</t>
  </si>
  <si>
    <t>機器名稱</t>
  </si>
  <si>
    <t>需要的小妖精(個)</t>
  </si>
  <si>
    <t>所屬島嶼/關卡</t>
  </si>
  <si>
    <t>運轉電力(FV/s)</t>
  </si>
  <si>
    <t>支援液體種類</t>
  </si>
  <si>
    <t>特殊屬性(過敏原/遇熱凝固/發酵膨脹/感染性)</t>
  </si>
  <si>
    <t>持續液體流率(fl/s)</t>
  </si>
  <si>
    <t>基礎流率/能力</t>
  </si>
  <si>
    <t>加工設備</t>
  </si>
  <si>
    <t>特殊機制說明</t>
  </si>
  <si>
    <t>所需液體種類</t>
  </si>
  <si>
    <t>說明備註</t>
  </si>
  <si>
    <t>持續液體流量(fl/s)</t>
  </si>
  <si>
    <t>固體原料1名稱</t>
  </si>
  <si>
    <t>固體原料1數量</t>
  </si>
  <si>
    <t>常規物資</t>
  </si>
  <si>
    <t>固體原料2名稱</t>
  </si>
  <si>
    <t>固體原料2數量</t>
  </si>
  <si>
    <t>煤炭</t>
  </si>
  <si>
    <t>固體原料3名稱</t>
  </si>
  <si>
    <t>採掘機</t>
  </si>
  <si>
    <t>食譜/料理名稱</t>
  </si>
  <si>
    <t>否</t>
  </si>
  <si>
    <t>固體原料3數量</t>
  </si>
  <si>
    <t>-</t>
  </si>
  <si>
    <t>固體原料4名稱</t>
  </si>
  <si>
    <t>固體原料4數量</t>
  </si>
  <si>
    <t>週期時間(秒)</t>
  </si>
  <si>
    <t>單次產量(個)</t>
  </si>
  <si>
    <t>基礎產出速率(個/秒)</t>
  </si>
  <si>
    <t>備註/特殊機制</t>
  </si>
  <si>
    <t>持續液體需求(fl/s)</t>
  </si>
  <si>
    <t>物品管道</t>
  </si>
  <si>
    <t>製作時間(秒)</t>
  </si>
  <si>
    <t>單次產出數量</t>
  </si>
  <si>
    <t>產出速率(個/秒)</t>
  </si>
  <si>
    <t>燃燒發電</t>
  </si>
  <si>
    <t>裝配機</t>
  </si>
  <si>
    <t>特殊製程注意事項</t>
  </si>
  <si>
    <t>無</t>
  </si>
  <si>
    <t>鐵</t>
  </si>
  <si>
    <t>波莫拉 (Pomora)</t>
  </si>
  <si>
    <t>玻璃</t>
  </si>
  <si>
    <t>必備機器</t>
  </si>
  <si>
    <t>鮮紅濃湯</t>
  </si>
  <si>
    <t>自動廚師機</t>
  </si>
  <si>
    <t>塔瑪茄醬</t>
  </si>
  <si>
    <t>虛空熔爐</t>
  </si>
  <si>
    <t>豆肉蔻</t>
  </si>
  <si>
    <t>用於傳輸物品</t>
  </si>
  <si>
    <t>鹽</t>
  </si>
  <si>
    <t>日桂葉</t>
  </si>
  <si>
    <t>液體管道</t>
  </si>
  <si>
    <t>用於傳輸液體</t>
  </si>
  <si>
    <t>4 FV/s (常規) / 16 FV/s (汙泥增效)</t>
  </si>
  <si>
    <t>供給機器運轉；燃燒煤炭(0.1/s)常規發電 4 FV/s；每10秒多消耗1個虛空汙泥(0.1/s)可提升發電量至 16 FV/s。</t>
  </si>
  <si>
    <t>電線</t>
  </si>
  <si>
    <t>用於傳輸電力</t>
  </si>
  <si>
    <t>梯子</t>
  </si>
  <si>
    <t>用於攀爬</t>
  </si>
  <si>
    <t>腳手架</t>
  </si>
  <si>
    <t>作為實體方塊使用；可放置於液體表面</t>
  </si>
  <si>
    <t>平台</t>
  </si>
  <si>
    <t>分撿機</t>
  </si>
  <si>
    <t>可從頂部往下穿的實體(按方向鍵即可穿透)；可放置於液體表面</t>
  </si>
  <si>
    <t>鬼魅菇</t>
  </si>
  <si>
    <t>地圖生成</t>
  </si>
  <si>
    <t>負責將物品/食材分類、送往不同方向</t>
  </si>
  <si>
    <t>需持續通入攪拌機產出之塔瑪茄醬(1 fl/s)；含有過敏原(豆肉蔻)。</t>
  </si>
  <si>
    <t>橡膠</t>
  </si>
  <si>
    <t>生長於石頭</t>
  </si>
  <si>
    <t>鬼魅菇孢子</t>
  </si>
  <si>
    <t>收割機</t>
  </si>
  <si>
    <t>合成打工小妖精材料</t>
  </si>
  <si>
    <t>傳送帶</t>
  </si>
  <si>
    <t>蜘蛛意式通心粉</t>
  </si>
  <si>
    <t>煮熟的通心粉</t>
  </si>
  <si>
    <t>輸送物品/食材</t>
  </si>
  <si>
    <t>用於傳輸物品/液體/電力等</t>
  </si>
  <si>
    <t>彈簧板</t>
  </si>
  <si>
    <t>使角色彈跳更高</t>
  </si>
  <si>
    <t>發酵好的打工小妖精</t>
  </si>
  <si>
    <t>需持續通入塔瑪茄醬(1 fl/s)；由蜘蛛蛋與骨粉製成通心粉。</t>
  </si>
  <si>
    <t>烤箱</t>
  </si>
  <si>
    <t>惡鬼千層面</t>
  </si>
  <si>
    <t>送餐大炮</t>
  </si>
  <si>
    <t>建造機器用</t>
  </si>
  <si>
    <t>煮熟的千層麵皮</t>
  </si>
  <si>
    <t>史萊姆肉餡</t>
  </si>
  <si>
    <t>將料理發射給怪獸</t>
  </si>
  <si>
    <t>合成用</t>
  </si>
  <si>
    <t>沙塊</t>
  </si>
  <si>
    <t>儲物箱</t>
  </si>
  <si>
    <t>需持續通入塔瑪茄醬(1 fl/s)；廚師機固體食材配比皆為 1:1。</t>
  </si>
  <si>
    <t>燃燒形成玻璃</t>
  </si>
  <si>
    <t>幽靈肉醬意麵</t>
  </si>
  <si>
    <t>15格儲存空間，每格最高堆疊999個</t>
  </si>
  <si>
    <t>煮熟的義大利麵</t>
  </si>
  <si>
    <t>分流器</t>
  </si>
  <si>
    <t>合金塊</t>
  </si>
  <si>
    <t>無法取得</t>
  </si>
  <si>
    <t>無法破壞</t>
  </si>
  <si>
    <t>設定不同輸出口的輸出物配比，形成分流</t>
  </si>
  <si>
    <t>樹脂</t>
  </si>
  <si>
    <t>需通入塔瑪茄醬(1 fl/s)；由熟義大利麵、史萊姆肉餡組裝而成。</t>
  </si>
  <si>
    <t>作為實體方塊使用</t>
  </si>
  <si>
    <t>哀嚎肉丸</t>
  </si>
  <si>
    <t>燃燒形成橡膠</t>
  </si>
  <si>
    <t>收割機器</t>
  </si>
  <si>
    <t>炸史萊姆肉丸</t>
  </si>
  <si>
    <t>樹脂樹</t>
  </si>
  <si>
    <t>0.2 個/秒</t>
  </si>
  <si>
    <t>生長於草地</t>
  </si>
  <si>
    <t>遊戲中一格礦石可無限開採不會枯竭</t>
  </si>
  <si>
    <t>虛空泵機</t>
  </si>
  <si>
    <t>可從頂部往下穿的實體</t>
  </si>
  <si>
    <t>水 / 虛空 / 油 / 醬汁</t>
  </si>
  <si>
    <t>黏土</t>
  </si>
  <si>
    <t>0 (產出端)</t>
  </si>
  <si>
    <t>2 fl/s (常規) / 8 fl/s (汙泥增效)</t>
  </si>
  <si>
    <t>需持續通入塔瑪茄醬(1 fl/s)；由炸史萊姆肉丸與日桂葉組裝而成。</t>
  </si>
  <si>
    <t>一格液體無限抽取；每5秒消耗1個虛空汙泥可提速至 8 fl/s。</t>
  </si>
  <si>
    <t>塔瑪茄炒蛋</t>
  </si>
  <si>
    <t>哥布林肉排</t>
  </si>
  <si>
    <t>角色死亡</t>
  </si>
  <si>
    <t>炒蜘蛛蛋</t>
  </si>
  <si>
    <t>食物中毒</t>
  </si>
  <si>
    <t>塔瑪茄</t>
  </si>
  <si>
    <t>烤箱放入不支持物品時產生</t>
  </si>
  <si>
    <t>灰燼</t>
  </si>
  <si>
    <t>植物節點無限採收；可用槌子敲起植物移植至指定生長方塊上</t>
  </si>
  <si>
    <t>將無法燒的物品放入烤箱形成</t>
  </si>
  <si>
    <t>無需通入液體；由炒蜘蛛蛋、塔瑪茄與豆肉蔻組裝而成。</t>
  </si>
  <si>
    <t>粉塵</t>
  </si>
  <si>
    <t>研磨機</t>
  </si>
  <si>
    <t>轉化機器</t>
  </si>
  <si>
    <t>瘟疫青醬麵</t>
  </si>
  <si>
    <t>發酵罐</t>
  </si>
  <si>
    <t>青醬</t>
  </si>
  <si>
    <t>將除巫妖骸骨外的物品放入研磨機形成，用於合成麵團</t>
  </si>
  <si>
    <t>指定發酵液</t>
  </si>
  <si>
    <t>1(發酵液)</t>
  </si>
  <si>
    <t>10秒5個 (0.5/s)</t>
  </si>
  <si>
    <t>虛空汙泥</t>
  </si>
  <si>
    <t>物質操縱機</t>
  </si>
  <si>
    <t>不同物品需要對應不同液體進行發酵</t>
  </si>
  <si>
    <t>水平傳輸物品</t>
  </si>
  <si>
    <t>氣味刺鼻</t>
  </si>
  <si>
    <t>綠色史萊姆</t>
  </si>
  <si>
    <t>物質操縱機通電通虛空但未輸入物品或未設定產物時產出；可作為虛空泵機超頻燃料（每5秒消耗1個，流量提速至8 fl/s）。</t>
  </si>
  <si>
    <t>虛空</t>
  </si>
  <si>
    <t>油炸鍋</t>
  </si>
  <si>
    <t>水</t>
  </si>
  <si>
    <t>需持續通入青醬(1 fl/s)；由煮熟的通心粉與鹽組裝而成。</t>
  </si>
  <si>
    <t>任意物品</t>
  </si>
  <si>
    <t>油</t>
  </si>
  <si>
    <t>1 (油)</t>
  </si>
  <si>
    <t>煉獄魔蛋</t>
  </si>
  <si>
    <t>5秒1個 (0.2/s)</t>
  </si>
  <si>
    <t>炸蜘蛛蛋</t>
  </si>
  <si>
    <t>槌子</t>
  </si>
  <si>
    <t>開局獲得</t>
  </si>
  <si>
    <t>可用於敲起植物進行移植</t>
  </si>
  <si>
    <t>拆除放置建物、管道等等</t>
  </si>
  <si>
    <t>注入機</t>
  </si>
  <si>
    <t>需持續通入塔瑪茄醬(1 fl/s)；由炸蜘蛛蛋與日桂葉組裝而成。</t>
  </si>
  <si>
    <t>消耗任意物品與虛空等價轉換</t>
  </si>
  <si>
    <t>板手</t>
  </si>
  <si>
    <t>巫妖骸骨</t>
  </si>
  <si>
    <t>驚魂北非蛋</t>
  </si>
  <si>
    <t>轉化機器；放置於液體中（如油池），每5秒輸入1個辛香料，將相連液體原位轉化為目標液體（如炙烈紅油）；轉化後需藉由泵機抽取輸送。運轉電力 1 FV/s，打工小妖精 2 個。</t>
  </si>
  <si>
    <t>改變物品管道內物品走向、機器輸入/出口設定</t>
  </si>
  <si>
    <t>塔瑪茄泥</t>
  </si>
  <si>
    <t>藍圖</t>
  </si>
  <si>
    <t>橡皮擦</t>
  </si>
  <si>
    <t>創造模式開局獲得</t>
  </si>
  <si>
    <t>1(虛空)</t>
  </si>
  <si>
    <t>需持續通入塔瑪茄醬(1 fl/s)；由炸蜘蛛蛋、塔瑪茄泥與豆肉蔻組裝而成。</t>
  </si>
  <si>
    <t>5秒1個 (0.2/s) / 5秒2個 (0.4/s)</t>
  </si>
  <si>
    <t>蜘蛛蛋</t>
  </si>
  <si>
    <t>消耗任意固體物品x1與虛空1 fl/s重構；一般為5秒1個，泥沼蟑螂為5秒2個；未設配方或缺料時自動產出虛空汙泥。</t>
  </si>
  <si>
    <t>撕裂脆片蘸醬</t>
  </si>
  <si>
    <t>草地</t>
  </si>
  <si>
    <t>多林多滋</t>
  </si>
  <si>
    <t>種植植物；不同草地效果皆相通</t>
  </si>
  <si>
    <t>需持續通入塔瑪茄醬(1 fl/s)；由多林多滋與鹽組裝而成。</t>
  </si>
  <si>
    <t>冶煉製程/燒製製程/烘焙製程</t>
  </si>
  <si>
    <t>蛇蛋</t>
  </si>
  <si>
    <t>惡臭農場蛋</t>
  </si>
  <si>
    <t>玉米餅</t>
  </si>
  <si>
    <t>煮鍋</t>
  </si>
  <si>
    <t>鹽(礦石方塊)</t>
  </si>
  <si>
    <t>採掘機直接開採</t>
  </si>
  <si>
    <t>1 (水)</t>
  </si>
  <si>
    <t>·椒</t>
  </si>
  <si>
    <t>水煮熟化</t>
  </si>
  <si>
    <t>泥沼蟑螂</t>
  </si>
  <si>
    <t>無需通入液體；由玉米餅、塔瑪茄泥、炸蜘蛛蛋與·椒組裝而成。</t>
  </si>
  <si>
    <t>加工機器</t>
  </si>
  <si>
    <t>混合機</t>
  </si>
  <si>
    <t>致命玉米片</t>
  </si>
  <si>
    <t>依配方需求 (水/指定液體或無)</t>
  </si>
  <si>
    <t>石頭</t>
  </si>
  <si>
    <t>0.5 (需要時) / 0 (無)</t>
  </si>
  <si>
    <t>4秒1個 (0.25/s) / 4秒2個 (0.5/s) / 4秒3個 (0.75/s)</t>
  </si>
  <si>
    <t>依配方決定是否通入液體，每 4 秒週期消耗 2 fl 液體（持續流率 0.5 fl/s）；產出效率分 4 秒 1 個、4 秒 2 個或 4 秒 3 個 (0.75/s)。</t>
  </si>
  <si>
    <t>種植植物；不同石頭效果皆相通</t>
  </si>
  <si>
    <t>特殊雙倍產量配方</t>
  </si>
  <si>
    <t>煤炭(礦石方塊)</t>
  </si>
  <si>
    <t>需持續通入塔瑪茄醬(1 fl/s)；由多林多滋、炒蜘蛛蛋、豆肉蔻與·椒組裝而成。</t>
  </si>
  <si>
    <t>無(空載)</t>
  </si>
  <si>
    <t>依配方需求 (指定液體或無)</t>
  </si>
  <si>
    <t>1 (需要時) / 0 (無)</t>
  </si>
  <si>
    <t>食屍鬼鮮莎莎</t>
  </si>
  <si>
    <t>鐵礦石</t>
  </si>
  <si>
    <t>固體食材配比恆為 1:1；液體依配方需求(固定 1 fl/s)或無；專門產出可餵食怪獸之完成品料理。</t>
  </si>
  <si>
    <t>洋蔥蔥</t>
  </si>
  <si>
    <t>豆肉蔻(礦石方塊)</t>
  </si>
  <si>
    <t>未輸入物品或未設定產物時自動凝結</t>
  </si>
  <si>
    <t>擠出機</t>
  </si>
  <si>
    <t>0.25 個/秒</t>
  </si>
  <si>
    <t>無需通入液體；由塔瑪茄、洋蔥蔥與日桂葉直接組裝而成。</t>
  </si>
  <si>
    <t>消耗固體原料擠出成型</t>
  </si>
  <si>
    <t>幽靈洋蔥湯</t>
  </si>
  <si>
    <t>冶煉製程</t>
  </si>
  <si>
    <t>1 個/秒</t>
  </si>
  <si>
    <t>將食物或物品磨成粉</t>
  </si>
  <si>
    <t>需持續通入水(1 fl/s)；由洋蔥蔥與日桂葉組裝而成。</t>
  </si>
  <si>
    <t>驚嚇炸洋蔥</t>
  </si>
  <si>
    <t>攪拌機</t>
  </si>
  <si>
    <t>麵糊</t>
  </si>
  <si>
    <t>1 fl/s</t>
  </si>
  <si>
    <t>消耗食材持續產出醬汁</t>
  </si>
  <si>
    <t>燒製製程</t>
  </si>
  <si>
    <t>日桂葉植株</t>
  </si>
  <si>
    <t>麵包</t>
  </si>
  <si>
    <t>發酵麵糰</t>
  </si>
  <si>
    <t>需持續通入麵糊(1 fl/s)；由洋蔥蔥與豆肉寇組裝而成。</t>
  </si>
  <si>
    <t>暗淡洋蔥花</t>
  </si>
  <si>
    <t>塔瑪茄植株</t>
  </si>
  <si>
    <t>烘焙製程</t>
  </si>
  <si>
    <t>生通心粉</t>
  </si>
  <si>
    <t>需持續通入麵糊(1 fl/s)；由洋蔥蔥與日桂葉組裝而成。</t>
  </si>
  <si>
    <t>克洛文納 (Clovina)</t>
  </si>
  <si>
    <t>末日麵團</t>
  </si>
  <si>
    <t>蒜泥蛋醬</t>
  </si>
  <si>
    <t>洋蔥蔥植株</t>
  </si>
  <si>
    <t>小蒜</t>
  </si>
  <si>
    <t>生千層麵</t>
  </si>
  <si>
    <t>需持續通入蒜泥蛋醬(1 fl/s)；由麵包與小蒜組裝而成；帶有氣味刺鼻屬性。</t>
  </si>
  <si>
    <t>·椒植株</t>
  </si>
  <si>
    <t>咒語餃子</t>
  </si>
  <si>
    <t>白醬</t>
  </si>
  <si>
    <t>生長於沙塊</t>
  </si>
  <si>
    <t>義大利麵團</t>
  </si>
  <si>
    <t>生義大利麵</t>
  </si>
  <si>
    <t>土豆</t>
  </si>
  <si>
    <t>需持續通入白醬(1 fl/s)；由綠色史萊姆、義大利麵團與土豆組裝而成。</t>
  </si>
  <si>
    <t>墳墓茄包</t>
  </si>
  <si>
    <t>麵包麵團</t>
  </si>
  <si>
    <t>是</t>
  </si>
  <si>
    <t>無需通入液體；由麵包、塔瑪茄、小蒜與鹽組裝而成。</t>
  </si>
  <si>
    <t>每5秒消耗塔瑪茄x1與日桂葉x1，持續產出塔瑪茄醬液體</t>
  </si>
  <si>
    <t>暴徒烤麵包</t>
  </si>
  <si>
    <t>骨粉</t>
  </si>
  <si>
    <t>發酵膨脹</t>
  </si>
  <si>
    <t>麵包麵糰發酵</t>
  </si>
  <si>
    <t>將1個巫妖骸骨研磨成2個骨粉</t>
  </si>
  <si>
    <t>需持續通入青醬(1 fl/s)；由麵包與塔瑪茄泥組裝而成。</t>
  </si>
  <si>
    <t>爛蛋約翰</t>
  </si>
  <si>
    <t>臭蛇蛋</t>
  </si>
  <si>
    <t>無需通入液體；由麵包、臭蛇蛋、史萊姆肉餡與洋蔥蔥組裝而成；需精確規劃蛇蛋30秒腐壞時序。</t>
  </si>
  <si>
    <t>骨粉x1與蜘蛛蛋x1混合成義大利麵團</t>
  </si>
  <si>
    <t>怪物庫克先生</t>
  </si>
  <si>
    <t>中等熟成奶酪</t>
  </si>
  <si>
    <t>將義大利麵團擠出成型為生通心粉</t>
  </si>
  <si>
    <t>需持續通入白醬(1 fl/s)；由麵包與中等熟成奶酪組裝而成。</t>
  </si>
  <si>
    <t>墳墓土豆塊</t>
  </si>
  <si>
    <t>香豆蔻</t>
  </si>
  <si>
    <t>將義大利麵團擠出成型為生千層麵皮</t>
  </si>
  <si>
    <t>需持續通入油(1 fl/s)；由土豆、香豆蔻、小蒜與塔瑪茄組裝而成；含有氣味刺鼻原料。</t>
  </si>
  <si>
    <t>爆炸土豆塊</t>
  </si>
  <si>
    <t>肉汁</t>
  </si>
  <si>
    <t>歐琴</t>
  </si>
  <si>
    <t>將1個綠色史萊姆絞碎成2個史萊姆肉餡</t>
  </si>
  <si>
    <t>需持續通入肉汁(1 fl/s)；由土豆、香豆蔻、小蒜與歐琴組裝而成；含有氣味刺鼻原料。</t>
  </si>
  <si>
    <t>奶酪飛濺盤</t>
  </si>
  <si>
    <t>軟質奶酪</t>
  </si>
  <si>
    <t>藍紋奶酪</t>
  </si>
  <si>
    <t>收割機採收自然生長之塔瑪茄</t>
  </si>
  <si>
    <t>無需液體；由軟質奶酪、中等熟成奶酪、藍紋奶酪與麵包組裝而成；涉及 20s/30s/60s 三階時序熟成。</t>
  </si>
  <si>
    <t>恐慌帕尼爾</t>
  </si>
  <si>
    <t>炸小蒜</t>
  </si>
  <si>
    <t>蟑螂奶油</t>
  </si>
  <si>
    <t>收割機採收生長於石頭之日桂葉</t>
  </si>
  <si>
    <t>採掘機開採香料礦石，具過敏原特性</t>
  </si>
  <si>
    <t>需持續通入肉汁(1 fl/s)；由軟質奶酪、炸小蒜、蟑螂奶油與歐琴組裝而成。</t>
  </si>
  <si>
    <t>殺戮芝士麵</t>
  </si>
  <si>
    <t>硬質奶酪</t>
  </si>
  <si>
    <t>蟑螂黃油</t>
  </si>
  <si>
    <t>採掘機開採鹽礦石</t>
  </si>
  <si>
    <t>生史萊姆肉丸</t>
  </si>
  <si>
    <t>無需液體；由硬質奶酪、煮熟的通心粉、蟑螂黃油與歐琴組裝而成；涉及 20s+30s 奶酪時序熟成。</t>
  </si>
  <si>
    <t>恐懼炸芝士</t>
  </si>
  <si>
    <t>麵包糠</t>
  </si>
  <si>
    <t>潮濕草地</t>
  </si>
  <si>
    <t>綠色史萊姆與豆肉蔻混和製成生肉丸</t>
  </si>
  <si>
    <t>需持續通入麵糊(1 fl/s)；由中等熟成奶酪與麵包糠組裝而成；涉及奶酪與麵團時序發酵。</t>
  </si>
  <si>
    <t>毒蘑菇·肉</t>
  </si>
  <si>
    <t>黏土石</t>
  </si>
  <si>
    <t>致命傘菇</t>
  </si>
  <si>
    <t>酸奶油</t>
  </si>
  <si>
    <t>在油中炸成炸史萊姆肉丸</t>
  </si>
  <si>
    <t>香豆蔻(香料方塊)</t>
  </si>
  <si>
    <t>需持續通入肉汁(1 fl/s)；由綠色史萊姆、致命傘菇、酸奶油與香豆蔻組裝而成；具食物中毒屬性。</t>
  </si>
  <si>
    <t>罪人炒飯</t>
  </si>
  <si>
    <t>蜘蛛蛋與鹽混和製成炒蜘蛛蛋</t>
  </si>
  <si>
    <t>打工小妖炒飯</t>
  </si>
  <si>
    <t>黏土礦脈</t>
  </si>
  <si>
    <t>日桂葉x1與豆肉蔻x1於攪拌機攪打成青醬</t>
  </si>
  <si>
    <t>無需通入液體；由打工小妖炒飯、炸小蒜與香豆蔻組裝而成。</t>
  </si>
  <si>
    <t>骨味炸米團</t>
  </si>
  <si>
    <t>歐琴植株</t>
  </si>
  <si>
    <t>水稻</t>
  </si>
  <si>
    <t>在油中炸成炸蜘蛛蛋</t>
  </si>
  <si>
    <t>需持續通入麵糊 (1 fl/s)；由軟質奶酪、水稻與麵包糠組裝而成。</t>
  </si>
  <si>
    <t>撒旦紅燴飯</t>
  </si>
  <si>
    <t>塔瑪茄與豆肉蔻混和製成</t>
  </si>
  <si>
    <t>小蒜植株</t>
  </si>
  <si>
    <t>生玉米餅</t>
  </si>
  <si>
    <t>需通入塔瑪茄醬(1 fl/s)；由硬質奶酪、蟑螂黃油、水稻與·椒組裝；涉及奶酪50秒二階時序熟成。</t>
  </si>
  <si>
    <t>幽靈肉汁奶酪薯條</t>
  </si>
  <si>
    <t>薯條</t>
  </si>
  <si>
    <t>骨粉與油混和製成生玉米餅(雙倍產量)</t>
  </si>
  <si>
    <t>芝士碎</t>
  </si>
  <si>
    <t>土豆塊莖</t>
  </si>
  <si>
    <t>烘烤成玉米餅</t>
  </si>
  <si>
    <t>需持續通入肉汁(1 fl/s)；由薯條與芝士碎組裝而成；芝士碎由中等熟成奶酪(20s熟成)研磨；含有小蒜(氣味刺鼻)。</t>
  </si>
  <si>
    <t>痛擊漢堡</t>
  </si>
  <si>
    <t>水稻植株</t>
  </si>
  <si>
    <t>生長於水裡</t>
  </si>
  <si>
    <t>在油中炸成多林多滋脆片</t>
  </si>
  <si>
    <t>無需液體；由史萊姆肉餡、麵包、芝士碎與薯條組裝而成；涉及奶酪與麵團時序發酵。</t>
  </si>
  <si>
    <t>刺菠蘿</t>
  </si>
  <si>
    <t>刺菠蘿披薩</t>
  </si>
  <si>
    <t>刺波羅樹</t>
  </si>
  <si>
    <t>骨粉x1與蜘蛛蛋x1於攪拌機攪打成麵糊</t>
  </si>
  <si>
    <t>需持續通入塔瑪茄醬(1 fl/s)；由麵包、芝士碎、刺菠蘿與薯條組裝而成；含有刺菠蘿(氣味刺鼻)。</t>
  </si>
  <si>
    <t>殺手薄餅</t>
  </si>
  <si>
    <t>食物中毒, 有毒/危險菇類</t>
  </si>
  <si>
    <t>骨粉、粉塵與水於混和機製成，放置15秒發酵為發酵麵糰</t>
  </si>
  <si>
    <t>致命傘菇叢</t>
  </si>
  <si>
    <t>需持續通入塔瑪茄醬(1 fl/s)；由玉米餅、史萊姆肉餡、芝士碎與酸奶油組裝而成；涉及奶酪與奶油雙重時序熟成。</t>
  </si>
  <si>
    <t>混亂日式炒飯</t>
  </si>
  <si>
    <t>蛇蛋、小蒜與歐琴於攪拌機攪打成蒜泥蛋醬</t>
  </si>
  <si>
    <t>蛇蛋腐壞</t>
  </si>
  <si>
    <t>需持續通入油(1 fl/s)；由打工小妖炒飯、臭蛇蛋、香豆蔻與小蒜組裝而成；涉及蛇蛋30秒時序腐壞。</t>
  </si>
  <si>
    <t>骨粉與蛇蛋於混合機製成義大利麵團</t>
  </si>
  <si>
    <t>蟑螂奶</t>
  </si>
  <si>
    <t>斯科瓦拉</t>
  </si>
  <si>
    <t>爆烈雞肉飯</t>
  </si>
  <si>
    <t>炙烈紅油</t>
  </si>
  <si>
    <t>生鷹身女妖肉</t>
  </si>
  <si>
    <t>菠菜</t>
  </si>
  <si>
    <t>辛辣沙沙醬</t>
  </si>
  <si>
    <t>泥沼蟑螂於攪拌機攪打成蟑螂奶</t>
  </si>
  <si>
    <t>需持續通入炙烈紅油(1 fl/s)；由打工小妖炒飯、生鷹身女妖肉、菠菜與辛辣沙沙醬組裝而成；生鷹身女妖肉具食物中毒屬性。</t>
  </si>
  <si>
    <t>驚嚇醃薑</t>
  </si>
  <si>
    <t>蟑螂奶油發酵</t>
  </si>
  <si>
    <t>鹽與蟑螂奶於混合機混和製成，每4秒消耗2fl蟑螂奶(持續流率0.5 fl/s)，具30秒發酵腐壞限制</t>
  </si>
  <si>
    <t>醋</t>
  </si>
  <si>
    <t>姜姜</t>
  </si>
  <si>
    <t>E127</t>
  </si>
  <si>
    <t>蟑螂奶油、鹽與水混和製成蟑螂黃油(雙倍產量)</t>
  </si>
  <si>
    <t>由醋、姜姜與E127組裝而成；E127具氣味刺鼻屬性。</t>
  </si>
  <si>
    <t>軟質奶酪發酵</t>
  </si>
  <si>
    <t>蟑螂黃油、蟑螂奶油與骨粉於攪拌機製成白醬</t>
  </si>
  <si>
    <t>中等熟成奶酪發酵</t>
  </si>
  <si>
    <t>硬質奶酪發酵</t>
  </si>
  <si>
    <t>塔瑪茄與香豆蔻於混合機製成塔瑪茄泥</t>
  </si>
  <si>
    <t>歐琴與香豆蔻於攪拌機製成青醬</t>
  </si>
  <si>
    <t>鹽與蟑螂奶於發酵罐製成，放置20秒熟成為中等熟成奶酪</t>
  </si>
  <si>
    <t>巫妖骸骨經研磨機磨成，每次產出2個，用於合成義大利麵團。</t>
  </si>
  <si>
    <t>洋蔥蔥、小蒜與香豆蔻於攪拌機攪打成肉汁持續流體 (1 fl/s)</t>
  </si>
  <si>
    <t>綠色史萊姆經研磨機絞碎產出（每次2個），用於製作惡鬼千層面。</t>
  </si>
  <si>
    <t>在油中炸成炸小蒜，具氣味刺鼻屬性</t>
  </si>
  <si>
    <t>波莫拉終端完成品料理</t>
  </si>
  <si>
    <t>由綠色史萊姆與豆肉蔻混和製成，用於油炸。</t>
  </si>
  <si>
    <t>由生史萊姆肉丸經油炸鍋炸成，用於組裝哀嚎肉丸。</t>
  </si>
  <si>
    <t>將麵包磨成麵包糠，用於恐懼炸芝士</t>
  </si>
  <si>
    <t>波莫拉終端料理：哀嚎肉丸。</t>
  </si>
  <si>
    <t>由蜘蛛蛋與鹽於混合機混和製成，用於組裝塔瑪茄炒蛋。</t>
  </si>
  <si>
    <t>波莫拉終端料理：塔瑪茄炒蛋。</t>
  </si>
  <si>
    <t>波莫拉終端料理：瘟疫青醬麵。</t>
  </si>
  <si>
    <t>水稻於油炸鍋在油中炒製而成，用於組裝罪人炒飯</t>
  </si>
  <si>
    <t>生薯條</t>
  </si>
  <si>
    <t>由蜘蛛蛋經油炸鍋炸成，用於組裝煉獄魔蛋。</t>
  </si>
  <si>
    <t>波莫拉終端料理：煉獄魔蛋。</t>
  </si>
  <si>
    <t>由塔瑪茄與豆肉蔻於混合機製成，用於組裝驚魂北非蛋。</t>
  </si>
  <si>
    <t>波莫拉終端料理：驚魂北非蛋。</t>
  </si>
  <si>
    <t>將土豆與鹽經擠出機成型為生薯條</t>
  </si>
  <si>
    <t>由骨粉與油於混合機製成，用於烘烤玉米餅。</t>
  </si>
  <si>
    <t>波莫拉終端料理：撕裂脆片蘸醬。</t>
  </si>
  <si>
    <t>波莫拉終端料理：惡臭農場蛋。</t>
  </si>
  <si>
    <t>生薯條於油中炸成薯條</t>
  </si>
  <si>
    <t>波莫拉終端料理：致命玉米片。</t>
  </si>
  <si>
    <t>波莫拉終端料理：食屍鬼鮮莎莎。</t>
  </si>
  <si>
    <t>將中等熟成奶酪研磨成芝士碎(每次2個)</t>
  </si>
  <si>
    <t>波莫拉終端料理：幽靈洋蔥湯。</t>
  </si>
  <si>
    <t>鷹身女妖翅膀</t>
  </si>
  <si>
    <t>波莫拉終端料理：驚嚇炸洋蔥。</t>
  </si>
  <si>
    <t>波莫拉終端料理：暗淡洋蔥花。</t>
  </si>
  <si>
    <t>鷹身女妖翅膀經擠出機剝皮成生肉</t>
  </si>
  <si>
    <t>克洛文納終端料理：末日麵團。含有小蒜（氣味刺鼻）。</t>
  </si>
  <si>
    <t>辣椒</t>
  </si>
  <si>
    <t>克洛文納終端料理：咒語餃子。</t>
  </si>
  <si>
    <t>辣椒注入油池原位轉化為炙烈紅油，需泵機抽取輸送</t>
  </si>
  <si>
    <t>克洛文納終端料理：墳墓茄包。</t>
  </si>
  <si>
    <t>克洛文納終端料理：暴徒烤麵包。</t>
  </si>
  <si>
    <t>克洛文納終端料理：爛蛋約翰。</t>
  </si>
  <si>
    <t>克洛文納終端料理：怪物庫克先生。</t>
  </si>
  <si>
    <t>洋蔥蔥、塔瑪茄與炙烈紅油混和製成辛辣沙沙醬(雙倍產量)</t>
  </si>
  <si>
    <t>甘酒</t>
  </si>
  <si>
    <t>克洛文納終端料理：墳墓土豆塊。含有小蒜（氣味刺鼻）。</t>
  </si>
  <si>
    <t>克洛文納終端料理：爆炸土豆塊。含有小蒜（氣味刺鼻）。</t>
  </si>
  <si>
    <t>克洛文納終端料理：奶酪飛濺盤。需精確規劃軟質、中等與藍紋奶酪三階時序熟成傳送帶。</t>
  </si>
  <si>
    <t>水稻於發酵罐在水中發酵製成甘酒</t>
  </si>
  <si>
    <t>由小蒜經油炸鍋炸成，用於組裝恐慌帕尼爾。</t>
  </si>
  <si>
    <t>克洛文納終端料理：恐慌帕尼爾。由軟質奶酪、炸小蒜、蟑螂奶油與歐琴組裝而成。</t>
  </si>
  <si>
    <t>甘酒通過注入機於水池原位轉化製成醋(不需外採抽水管線)</t>
  </si>
  <si>
    <t>粉紅仙子</t>
  </si>
  <si>
    <t>克洛文納終端料理：殺戮芝士麵。由硬質奶酪、煮熟的通心粉、蟑螂黃油與歐琴組裝而成。</t>
  </si>
  <si>
    <t>由麵包經研磨機磨成，用於恐懼炸芝士</t>
  </si>
  <si>
    <t>消耗任意物品與虛空等價重構為粉紅仙子(5秒1個)</t>
  </si>
  <si>
    <t>克洛文納終端料理：恐懼炸芝士。由中等熟成奶酪、麵糊與麵包糠組裝而成。</t>
  </si>
  <si>
    <t>克洛文納終端料理：毒蘑菇·肉。由綠色史萊姆、致命傘菇、酸奶油、香豆蔻組裝而成，並通入肉汁(1 fl/s)；具食物中毒屬性。</t>
  </si>
  <si>
    <t>粉紅仙子於研磨機研磨成E127(雙倍產量)，具氣味刺鼻屬性</t>
  </si>
  <si>
    <t>水稻經油炸鍋在油中炒製而成，用於組裝罪人炒飯。</t>
  </si>
  <si>
    <t>克洛文納終端料理：罪人炒飯。由打工小妖炒飯、炸小蒜與香豆蔻組裝而成。</t>
  </si>
  <si>
    <t>克洛文納終端料理：骨味炸米團。由軟質奶酪、水稻、麵包糠組裝，並通入麵糊(1 fl/s)。</t>
  </si>
  <si>
    <t>克洛文納終端料理：撒旦紅燴飯。由硬質奶酪、蟑螂黃油、水稻與·椒組裝，通入塔瑪茄醬(1 fl/s)。</t>
  </si>
  <si>
    <t>土豆與鹽經擠出機成型</t>
  </si>
  <si>
    <t>生薯條經油炸鍋炸成</t>
  </si>
  <si>
    <t>中等熟成奶酪研磨而成，每次產出2個</t>
  </si>
  <si>
    <t>克洛文納終端料理：幽靈肉汁奶酪薯條。由薯條、芝士碎組裝而成，並通入肉汁(1 fl/s)；含有小蒜(氣味刺鼻)。</t>
  </si>
  <si>
    <t>克洛文納終端料理：痛擊漢堡。由史萊姆肉餡、麵包、芝士碎與薯條組裝而成。</t>
  </si>
  <si>
    <t>克洛文納終端料理：刺菠蘿披薩。由麵包、芝士碎、刺菠蘿與薯條組裝而成，通入塔瑪茄醬(1 fl/s)；含有刺菠蘿(氣味刺鼻)。</t>
  </si>
  <si>
    <t>克洛文納終端料理：殺手薄餅。由玉米餅、史萊姆肉餡、芝士碎與酸奶油組裝而成，通入塔瑪茄醬(1 fl/s)。</t>
  </si>
  <si>
    <t>克洛文納終端料理：混亂日式炒飯。由打工小妖炒飯、臭蛇蛋、香豆蔻與小蒜組裝，通入油(1 fl/s)。</t>
  </si>
  <si>
    <t>乾燥草地</t>
  </si>
  <si>
    <t>砂岩</t>
  </si>
  <si>
    <t>冰塊</t>
  </si>
  <si>
    <t>糊糊</t>
  </si>
  <si>
    <t>菠菜植株</t>
  </si>
  <si>
    <t>油荳蔻</t>
  </si>
  <si>
    <t>油荳蔻植株</t>
  </si>
  <si>
    <t>松子</t>
  </si>
  <si>
    <t>含有堅果</t>
  </si>
  <si>
    <t>松樹</t>
  </si>
  <si>
    <t>姜姜塊莖</t>
  </si>
  <si>
    <t>辣椒植株</t>
  </si>
  <si>
    <t>魔鬼椒</t>
  </si>
  <si>
    <t>哈瓦那魔椒</t>
  </si>
  <si>
    <t>由洋蔥蔥、塔瑪茄與炙烈紅油於混合機混和製成，每次產出2個</t>
  </si>
  <si>
    <t>年糕</t>
  </si>
  <si>
    <t>蟑螂酸奶</t>
  </si>
  <si>
    <t>胃復慘</t>
  </si>
  <si>
    <t>老爹脆辣辣椒</t>
  </si>
  <si>
    <t>熾熱、氣味刺鼻</t>
  </si>
  <si>
    <t>將注入機置於油池輸入辣椒原位轉化而成之持續流體</t>
  </si>
  <si>
    <t>致命沙沙醬</t>
  </si>
  <si>
    <t>終極炸彈</t>
  </si>
  <si>
    <t>甘酒通過注入機注入水中原位轉化而成之調味液體。</t>
  </si>
  <si>
    <t>鷹身女妖翅膀經擠出機剝皮製成，具食物中毒屬性</t>
  </si>
  <si>
    <t>斯科瓦拉終端料理：爆烈雞肉飯。由打工小妖炒飯、生鷹身女妖肉、菠菜與辛辣沙沙醬組裝，通入炙烈紅油(1 fl/s)。</t>
  </si>
  <si>
    <t>水稻於發酵罐在水中發酵而成的中間產物。</t>
  </si>
  <si>
    <t>物質操縱機消耗虛空(1 fl/s)等價重構之稀有食材，速率5秒1個。</t>
  </si>
  <si>
    <t>由粉紅仙子於研磨機研磨而成之粉末(每次2個)，具氣味刺鼻屬性。</t>
  </si>
  <si>
    <t>斯科瓦拉終端配菜：由醋、姜姜與E127於自動廚師機組裝而成；E127具氣味刺鼻屬性。</t>
  </si>
  <si>
    <t>類別</t>
  </si>
  <si>
    <t>名稱</t>
  </si>
  <si>
    <t>遊戲圖示 (貼圖處)</t>
  </si>
  <si>
    <t>功能說明 / 特性備註</t>
  </si>
  <si>
    <t>熔爐</t>
  </si>
  <si>
    <t>刺波蘿</t>
  </si>
  <si>
    <t>巫妖骸骨研磨產物，用於合成義大利麵團。</t>
  </si>
  <si>
    <t>綠色史萊姆研磨產出，用於製作千層面。</t>
  </si>
  <si>
    <t>波莫拉終端料理：幽靈肉醬意麵</t>
  </si>
  <si>
    <t>混合機產物（生肉丸）</t>
  </si>
  <si>
    <t>油炸鍋產物（熟肉丸）</t>
  </si>
  <si>
    <t>混合機產物（炒蛋）</t>
  </si>
  <si>
    <t>油炸鍋產物（炸蛋）</t>
  </si>
  <si>
    <t>波莫拉終端料理</t>
  </si>
  <si>
    <t>混合機產物（紅泥）</t>
  </si>
  <si>
    <t>混合機產物（生麵團）</t>
  </si>
  <si>
    <t>由麵包經研磨機磨成，用於恐懼炸芝士裹粉</t>
  </si>
  <si>
    <t>由小蒜經油炸鍋炸成，具氣味刺鼻屬性，用於恐慌帕尼爾組裝</t>
  </si>
  <si>
    <t>水稻經油炸鍋在油中炒製而成，用於組裝罪人炒飯</t>
  </si>
  <si>
    <t>擠出機產物（生薯條）</t>
  </si>
  <si>
    <t>油炸鍋產物（熟薯條）</t>
  </si>
  <si>
    <t>中等熟成奶酪經研磨機磨成，每次2個</t>
  </si>
  <si>
    <t>料理名稱</t>
  </si>
  <si>
    <t>工序名稱</t>
  </si>
  <si>
    <t>使用設備</t>
  </si>
  <si>
    <t>單台基準速率</t>
  </si>
  <si>
    <t>單台電力</t>
  </si>
  <si>
    <t>單台小妖精</t>
  </si>
  <si>
    <t>排序</t>
  </si>
  <si>
    <t>食材名稱</t>
  </si>
  <si>
    <t>單份消耗量</t>
  </si>
  <si>
    <t>類型</t>
  </si>
  <si>
    <t>料理選單清單</t>
  </si>
  <si>
    <t>終端組裝</t>
  </si>
  <si>
    <t>固體</t>
  </si>
  <si>
    <t>(無)</t>
  </si>
  <si>
    <t>混合機產物（辛辣沙沙醬，每次2個）</t>
  </si>
  <si>
    <t>注入機產物（炙烈紅油持續流體）</t>
  </si>
  <si>
    <t>採收塔瑪茄</t>
  </si>
  <si>
    <t>擠出機剝皮產物（生鷹身女妖肉）</t>
  </si>
  <si>
    <t>採收日桂葉</t>
  </si>
  <si>
    <t>開採豆肉蔻</t>
  </si>
  <si>
    <t>發酵罐發酵產物（甘酒）</t>
  </si>
  <si>
    <t>物質操縱機重構產物（粉紅仙子）</t>
  </si>
  <si>
    <t>開採鹽</t>
  </si>
  <si>
    <t>研磨機研磨產物（E127粉末，氣味刺鼻）</t>
  </si>
  <si>
    <t>水煮通心粉</t>
  </si>
  <si>
    <t>液體</t>
  </si>
  <si>
    <t>擠出通心粉</t>
  </si>
  <si>
    <t>混和麵團</t>
  </si>
  <si>
    <t>研磨骨粉</t>
  </si>
  <si>
    <t>重構巫妖骸骨</t>
  </si>
  <si>
    <t>重構蜘蛛蛋</t>
  </si>
  <si>
    <t>水煮千層麵皮</t>
  </si>
  <si>
    <t>擠出千層麵皮</t>
  </si>
  <si>
    <t>絞碎史萊姆</t>
  </si>
  <si>
    <t>重構綠色史萊姆</t>
  </si>
  <si>
    <t>水煮義大利麵</t>
  </si>
  <si>
    <t>擠出義大利麵</t>
  </si>
  <si>
    <t>混和生史萊姆肉丸</t>
  </si>
  <si>
    <t>混和炒蜘蛛蛋</t>
  </si>
  <si>
    <t>控制面板</t>
  </si>
  <si>
    <t>混和塔瑪茄泥</t>
  </si>
  <si>
    <t>目標料理名稱</t>
  </si>
  <si>
    <t>炸多林多滋</t>
  </si>
  <si>
    <t>烘烤玉米餅</t>
  </si>
  <si>
    <t>混和生玉米餅</t>
  </si>
  <si>
    <t>發電運轉模式</t>
  </si>
  <si>
    <t>二級超頻 (16 FV/s)</t>
  </si>
  <si>
    <t>目標產出速率 (個/秒)</t>
  </si>
  <si>
    <t>每分鐘目標產量</t>
  </si>
  <si>
    <t>採收·椒</t>
  </si>
  <si>
    <t>【全廠綜合總結算】</t>
  </si>
  <si>
    <t>【廠內調配醬汁清單】</t>
  </si>
  <si>
    <t>【轉化流體泵機與超頻階梯配置】</t>
  </si>
  <si>
    <t>【外採泵機流體與超頻階梯配置】</t>
  </si>
  <si>
    <t>全廠實需設備台數</t>
  </si>
  <si>
    <t>獨立產線 (無節省)</t>
  </si>
  <si>
    <t>採收洋蔥蔥</t>
  </si>
  <si>
    <t>醬汁名稱</t>
  </si>
  <si>
    <t>來源設備</t>
  </si>
  <si>
    <t>需量(fl/s)</t>
  </si>
  <si>
    <t>轉化流體</t>
  </si>
  <si>
    <t>總需量(fl/s)</t>
  </si>
  <si>
    <t>二級超頻(8fl/s)</t>
  </si>
  <si>
    <t>一級常規(2fl/s)</t>
  </si>
  <si>
    <t>供汙泥操機</t>
  </si>
  <si>
    <t>外採流體</t>
  </si>
  <si>
    <t>主設備電力 (純料理)</t>
  </si>
  <si>
    <t>重構底料收割機台數</t>
  </si>
  <si>
    <t>烘烤麵包</t>
  </si>
  <si>
    <t>混和麵包麵團</t>
  </si>
  <si>
    <t>重構蛇蛋</t>
  </si>
  <si>
    <t>採收小蒜</t>
  </si>
  <si>
    <t>採收歐琴</t>
  </si>
  <si>
    <t>混和蟑螂黃油</t>
  </si>
  <si>
    <t>混和蟑螂奶油</t>
  </si>
  <si>
    <t>攪拌蟑螂奶</t>
  </si>
  <si>
    <t>混和義大利麵團</t>
  </si>
  <si>
    <t>料理順序</t>
  </si>
  <si>
    <t>重構泥沼蟑螂</t>
  </si>
  <si>
    <t>目標產出速率(個/秒)</t>
  </si>
  <si>
    <t>每分鐘產量 (份/分)</t>
  </si>
  <si>
    <t>採收土豆</t>
  </si>
  <si>
    <t>研磨粉塵</t>
  </si>
  <si>
    <t>料理1</t>
  </si>
  <si>
    <t>採收粉塵底料</t>
  </si>
  <si>
    <t>料理2</t>
  </si>
  <si>
    <t>料理3</t>
  </si>
  <si>
    <t>開採香豆蔻</t>
  </si>
  <si>
    <t>全廠並聯實需台數</t>
  </si>
  <si>
    <t>節省設備台數</t>
  </si>
  <si>
    <t>主設備總電力</t>
  </si>
  <si>
    <t>發酵軟質奶酪</t>
  </si>
  <si>
    <t>泵機與操機電力</t>
  </si>
  <si>
    <t>研磨麵包糠</t>
  </si>
  <si>
    <t>底料機耗電</t>
  </si>
  <si>
    <t>總煤炭消耗</t>
  </si>
  <si>
    <t>採收致命傘菇</t>
  </si>
  <si>
    <t>採收水稻</t>
  </si>
  <si>
    <t>攪拌麵糊</t>
  </si>
  <si>
    <t>採煤機耗電</t>
  </si>
  <si>
    <t>攪拌塔瑪茄醬</t>
  </si>
  <si>
    <t>所需採煤機</t>
  </si>
  <si>
    <t>攪拌蟑螂奶(奶酪專線)</t>
  </si>
  <si>
    <t>攪拌蟑螂奶(黃油專線)</t>
  </si>
  <si>
    <t>全廠泵機與操機台數</t>
  </si>
  <si>
    <t>(含轉化與發電)</t>
  </si>
  <si>
    <t>炸薯條</t>
  </si>
  <si>
    <t>擠出生薯條</t>
  </si>
  <si>
    <t>研磨芝士碎</t>
  </si>
  <si>
    <t>⚡ 全廠總電力負載</t>
  </si>
  <si>
    <t>👥 全廠總小妖精</t>
  </si>
  <si>
    <t>全廠泵機與操機電力</t>
  </si>
  <si>
    <t>總能耗(FV/s)</t>
  </si>
  <si>
    <t>採收刺菠蘿</t>
  </si>
  <si>
    <t>【產線工序設備清單 (動態展開)】</t>
  </si>
  <si>
    <t>單台基準速率 (份/秒)</t>
  </si>
  <si>
    <t>所需設備台數 (台)</t>
  </si>
  <si>
    <t>單台小妖精 (個)</t>
  </si>
  <si>
    <t>小妖精需求小計 (個)</t>
  </si>
  <si>
    <t>單台電力(FV/s)</t>
  </si>
  <si>
    <t>電力負載小計(FV/s)</t>
  </si>
  <si>
    <t>最簡整數比</t>
  </si>
  <si>
    <t>分流拓撲建議</t>
  </si>
  <si>
    <t>攪拌蟑螂奶(奶油專線)</t>
  </si>
  <si>
    <t>剝皮鷹身女妖肉</t>
  </si>
  <si>
    <t>重構鷹身女妖翅膀</t>
  </si>
  <si>
    <t>採收辣椒</t>
  </si>
  <si>
    <t>混和辛辣沙沙醬</t>
  </si>
  <si>
    <t>採收菠菜</t>
  </si>
  <si>
    <t>注入醋</t>
  </si>
  <si>
    <t>發酵甘酒</t>
  </si>
  <si>
    <t>採收姜姜</t>
  </si>
  <si>
    <t>研磨E127</t>
  </si>
  <si>
    <t>重構粉紅仙子</t>
  </si>
  <si>
    <t>【全廠綜合工序設備清單 (動態展開)】</t>
  </si>
  <si>
    <t>設備類型</t>
  </si>
  <si>
    <t>料理1需求流率 (台)</t>
  </si>
  <si>
    <t>料理2需求流率 (台)</t>
  </si>
  <si>
    <t>料理3需求流率 (台)</t>
  </si>
  <si>
    <t>全廠總需求流率 (台)</t>
  </si>
  <si>
    <t>獨立規劃合計台數 (台)</t>
  </si>
  <si>
    <t>全廠並聯實需台數 (台)</t>
  </si>
  <si>
    <t>節省設備台數 (台)</t>
  </si>
  <si>
    <t>總電力負載(FV/s)</t>
  </si>
  <si>
    <t>總小妖精需求 (個)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</si>
</sst>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0.0"/>
  </numFmts>
  <fonts count="2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201A13"/>
      <name val="Roboto"/>
    </font>
    <font>
      <sz val="10.0"/>
      <color rgb="FF181C1F"/>
      <name val="Roboto"/>
    </font>
    <font>
      <color theme="1"/>
      <name val="Arial"/>
      <scheme val="minor"/>
    </font>
    <font>
      <color rgb="FF201A13"/>
      <name val="Roboto"/>
    </font>
    <font>
      <color theme="1"/>
      <name val="Arial"/>
    </font>
    <font>
      <sz val="10.0"/>
      <color rgb="FF181D16"/>
      <name val="Roboto"/>
    </font>
    <font>
      <sz val="10.0"/>
      <color rgb="FF221917"/>
      <name val="Roboto"/>
    </font>
    <font>
      <b/>
      <color rgb="FFFFFFFF"/>
      <name val="Arial"/>
      <scheme val="minor"/>
    </font>
    <font/>
    <font>
      <b/>
      <sz val="11.0"/>
      <color rgb="FFFFFFFF"/>
      <name val="Roboto"/>
    </font>
    <font>
      <b/>
      <sz val="11.0"/>
      <color rgb="FFFFFFFF"/>
      <name val="Arial"/>
      <scheme val="minor"/>
    </font>
    <font>
      <sz val="10.0"/>
      <color rgb="FF1A1B20"/>
      <name val="Roboto"/>
    </font>
    <font>
      <color rgb="FFFFFFFF"/>
      <name val="Arial"/>
      <scheme val="minor"/>
    </font>
    <font>
      <b/>
      <sz val="10.0"/>
      <color rgb="FFFFFFFF"/>
      <name val="Roboto"/>
    </font>
    <font>
      <sz val="10.0"/>
      <color rgb="FF231817"/>
      <name val="Roboto"/>
    </font>
    <font>
      <color rgb="FF000000"/>
      <name val="Arial"/>
      <scheme val="minor"/>
    </font>
    <font>
      <b/>
      <sz val="10.0"/>
      <color rgb="FFFFFFFF"/>
      <name val="Montserrat"/>
    </font>
    <font>
      <b/>
      <color rgb="FF7E5F00"/>
      <name val="Arial"/>
      <scheme val="minor"/>
    </font>
    <font>
      <b/>
      <color rgb="FF1F4E79"/>
      <name val="Arial"/>
      <scheme val="minor"/>
    </font>
    <font>
      <b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rgb="FF202429"/>
      <name val="Roboto"/>
    </font>
    <font>
      <sz val="10.0"/>
      <color rgb="FF1C1B20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845217"/>
        <bgColor rgb="FF845217"/>
      </patternFill>
    </fill>
    <fill>
      <patternFill patternType="solid">
        <fgColor rgb="FF845317"/>
        <bgColor rgb="FF845317"/>
      </patternFill>
    </fill>
    <fill>
      <patternFill patternType="solid">
        <fgColor rgb="FF3B5F90"/>
        <bgColor rgb="FF3B5F90"/>
      </patternFill>
    </fill>
    <fill>
      <patternFill patternType="solid">
        <fgColor rgb="FFFFF7F5"/>
        <bgColor rgb="FFFFF7F5"/>
      </patternFill>
    </fill>
    <fill>
      <patternFill patternType="solid">
        <fgColor rgb="FFFFFFFF"/>
        <bgColor rgb="FFFFFFFF"/>
      </patternFill>
    </fill>
    <fill>
      <patternFill patternType="solid">
        <fgColor rgb="FF3A6939"/>
        <bgColor rgb="FF3A6939"/>
      </patternFill>
    </fill>
    <fill>
      <patternFill patternType="solid">
        <fgColor rgb="FF67538E"/>
        <bgColor rgb="FF67538E"/>
      </patternFill>
    </fill>
    <fill>
      <patternFill patternType="solid">
        <fgColor rgb="FF1A355C"/>
        <bgColor rgb="FF1A355C"/>
      </patternFill>
    </fill>
    <fill>
      <patternFill patternType="solid">
        <fgColor rgb="FFF9F9FF"/>
        <bgColor rgb="FFF9F9FF"/>
      </patternFill>
    </fill>
    <fill>
      <patternFill patternType="solid">
        <fgColor rgb="FF2B3D4F"/>
        <bgColor rgb="FF2B3D4F"/>
      </patternFill>
    </fill>
    <fill>
      <patternFill patternType="solid">
        <fgColor rgb="FF1B365D"/>
        <bgColor rgb="FF1B365D"/>
      </patternFill>
    </fill>
    <fill>
      <patternFill patternType="solid">
        <fgColor rgb="FF425D90"/>
        <bgColor rgb="FF425D90"/>
      </patternFill>
    </fill>
    <fill>
      <patternFill patternType="solid">
        <fgColor rgb="FFF8F8F9"/>
        <bgColor rgb="FFF8F8F9"/>
      </patternFill>
    </fill>
    <fill>
      <patternFill patternType="solid">
        <fgColor rgb="FFEBF0F5"/>
        <bgColor rgb="FFEBF0F5"/>
      </patternFill>
    </fill>
    <fill>
      <patternFill patternType="solid">
        <fgColor rgb="FFFFF1CC"/>
        <bgColor rgb="FFFFF1CC"/>
      </patternFill>
    </fill>
    <fill>
      <patternFill patternType="solid">
        <fgColor rgb="FFD9E0F1"/>
        <bgColor rgb="FFD9E0F1"/>
      </patternFill>
    </fill>
    <fill>
      <patternFill patternType="solid">
        <fgColor rgb="FF2C3D4F"/>
        <bgColor rgb="FF2C3D4F"/>
      </patternFill>
    </fill>
  </fills>
  <borders count="57">
    <border/>
    <border>
      <left style="thin">
        <color rgb="FF837468"/>
      </left>
      <right style="thin">
        <color rgb="FF837468"/>
      </right>
      <top style="thin">
        <color rgb="FF837468"/>
      </top>
      <bottom style="thin">
        <color rgb="FF837468"/>
      </bottom>
    </border>
    <border>
      <left style="thin">
        <color rgb="FF827367"/>
      </left>
      <right style="thin">
        <color rgb="FF827367"/>
      </right>
      <top style="thin">
        <color rgb="FF827367"/>
      </top>
      <bottom style="thin">
        <color rgb="FF827367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right style="thin">
        <color rgb="FF837468"/>
      </right>
      <top style="thin">
        <color rgb="FF837468"/>
      </top>
      <bottom style="thin">
        <color rgb="FF83746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  <border>
      <left style="thin">
        <color rgb="FF85726D"/>
      </left>
      <top style="thin">
        <color rgb="FF85726D"/>
      </top>
      <bottom style="thin">
        <color rgb="FF85726D"/>
      </bottom>
    </border>
    <border>
      <top style="thin">
        <color rgb="FF85726D"/>
      </top>
      <bottom style="thin">
        <color rgb="FF85726D"/>
      </bottom>
    </border>
    <border>
      <right style="thin">
        <color rgb="FF85726D"/>
      </right>
      <top style="thin">
        <color rgb="FF85726D"/>
      </top>
      <bottom style="thin">
        <color rgb="FF85726D"/>
      </bottom>
    </border>
    <border>
      <left style="thin">
        <color rgb="FF85726D"/>
      </left>
      <right style="thin">
        <color rgb="FF85726D"/>
      </right>
      <top style="thin">
        <color rgb="FF85726D"/>
      </top>
      <bottom style="thin">
        <color rgb="FF85726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5726D"/>
      </left>
      <bottom style="thin">
        <color rgb="FF85726D"/>
      </bottom>
    </border>
    <border>
      <bottom style="thin">
        <color rgb="FF85726D"/>
      </bottom>
    </border>
    <border>
      <right style="thin">
        <color rgb="FF85726D"/>
      </right>
      <bottom style="thin">
        <color rgb="FF85726D"/>
      </bottom>
    </border>
    <border>
      <left style="thin">
        <color rgb="FF73777E"/>
      </left>
      <bottom style="thin">
        <color rgb="FF73777E"/>
      </bottom>
    </border>
    <border>
      <bottom style="thin">
        <color rgb="FF73777E"/>
      </bottom>
    </border>
    <border>
      <right style="thin">
        <color rgb="FF73777E"/>
      </right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FFFFFF"/>
      </bottom>
    </border>
    <border>
      <left style="thin">
        <color rgb="FF79747E"/>
      </left>
      <top style="thin">
        <color rgb="FF79747E"/>
      </top>
      <bottom style="thin">
        <color rgb="FF79747E"/>
      </bottom>
    </border>
    <border>
      <top style="thin">
        <color rgb="FF79747E"/>
      </top>
      <bottom style="thin">
        <color rgb="FF79747E"/>
      </bottom>
    </border>
    <border>
      <right style="thin">
        <color rgb="FF67538E"/>
      </right>
      <top style="thin">
        <color rgb="FF79747E"/>
      </top>
      <bottom style="thin">
        <color rgb="FF79747E"/>
      </bottom>
    </border>
    <border>
      <top style="thin">
        <color rgb="FF79747E"/>
      </top>
      <bottom style="thin">
        <color rgb="FFD9D9D9"/>
      </bottom>
    </border>
    <border>
      <bottom style="thin">
        <color rgb="FF85736F"/>
      </bottom>
    </border>
    <border>
      <left style="thin">
        <color rgb="FF000000"/>
      </left>
    </border>
    <border>
      <left style="thin">
        <color rgb="FF79747E"/>
      </left>
      <right style="thin">
        <color rgb="FF79747E"/>
      </right>
      <top style="thin">
        <color rgb="FF79747E"/>
      </top>
      <bottom style="thin">
        <color rgb="FF7974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000000"/>
      </right>
      <top style="thin">
        <color rgb="FF73777E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000000"/>
      </right>
      <top style="thin">
        <color rgb="FF73777E"/>
      </top>
      <bottom style="thin">
        <color rgb="FF73777E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4E7EB"/>
      </left>
      <top style="thin">
        <color rgb="FFE4E7EB"/>
      </top>
      <bottom style="thin">
        <color rgb="FFE4E7EB"/>
      </bottom>
    </border>
    <border>
      <top style="thin">
        <color rgb="FFE4E7EB"/>
      </top>
      <bottom style="thin">
        <color rgb="FFE4E7EB"/>
      </bottom>
    </border>
    <border>
      <right style="thin">
        <color rgb="FFE4E7EB"/>
      </right>
      <top style="thin">
        <color rgb="FFE4E7EB"/>
      </top>
      <bottom style="thin">
        <color rgb="FFE4E7EB"/>
      </bottom>
    </border>
    <border>
      <left style="thin">
        <color rgb="FFE4E7EB"/>
      </left>
      <right style="thin">
        <color rgb="FFE4E7EB"/>
      </right>
      <top style="thin">
        <color rgb="FFE4E7EB"/>
      </top>
      <bottom style="thin">
        <color rgb="FFE4E7EB"/>
      </bottom>
    </border>
    <border>
      <left style="thin">
        <color rgb="FF79747E"/>
      </left>
      <right style="thin">
        <color rgb="FF79747E"/>
      </right>
    </border>
    <border>
      <left style="thin">
        <color rgb="FF79747E"/>
      </lef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74777E"/>
      </left>
      <top style="thin">
        <color rgb="FF74777E"/>
      </top>
    </border>
    <border>
      <top style="thin">
        <color rgb="FF74777E"/>
      </top>
    </border>
    <border>
      <right style="thin">
        <color rgb="FF74777E"/>
      </right>
      <top style="thin">
        <color rgb="FF74777E"/>
      </top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left" readingOrder="0" vertical="center"/>
    </xf>
    <xf borderId="2" fillId="3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5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6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/>
    </xf>
    <xf borderId="2" fillId="0" fontId="2" numFmtId="0" xfId="0" applyBorder="1" applyFont="1"/>
    <xf borderId="1" fillId="0" fontId="2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5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shrinkToFit="0" wrapText="1"/>
    </xf>
    <xf borderId="3" fillId="5" fontId="6" numFmtId="0" xfId="0" applyBorder="1" applyFill="1" applyFont="1"/>
    <xf borderId="5" fillId="5" fontId="6" numFmtId="0" xfId="0" applyBorder="1" applyFill="1" applyFont="1"/>
    <xf borderId="6" fillId="5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2" fillId="6" fontId="5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shrinkToFit="0" wrapText="1"/>
    </xf>
    <xf borderId="3" fillId="6" fontId="6" numFmtId="0" xfId="0" applyBorder="1" applyFill="1" applyFont="1"/>
    <xf borderId="5" fillId="6" fontId="6" numFmtId="0" xfId="0" applyBorder="1" applyFill="1" applyFont="1"/>
    <xf borderId="0" fillId="0" fontId="4" numFmtId="0" xfId="0" applyAlignment="1" applyFont="1">
      <alignment readingOrder="0"/>
    </xf>
    <xf borderId="6" fillId="6" fontId="6" numFmtId="0" xfId="0" applyAlignment="1" applyBorder="1" applyFill="1" applyFont="1">
      <alignment vertical="bottom"/>
    </xf>
    <xf borderId="3" fillId="5" fontId="6" numFmtId="164" xfId="0" applyBorder="1" applyFill="1" applyFont="1" applyNumberFormat="1"/>
    <xf borderId="3" fillId="6" fontId="6" numFmtId="164" xfId="0" applyBorder="1" applyFill="1" applyFont="1" applyNumberFormat="1"/>
    <xf borderId="2" fillId="5" fontId="6" numFmtId="0" xfId="0" applyBorder="1" applyFill="1" applyFont="1"/>
    <xf borderId="0" fillId="0" fontId="4" numFmtId="0" xfId="0" applyFont="1"/>
    <xf borderId="2" fillId="5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shrinkToFit="0" wrapText="1"/>
    </xf>
    <xf borderId="3" fillId="5" fontId="6" numFmtId="0" xfId="0" applyBorder="1" applyFill="1" applyFont="1"/>
    <xf borderId="5" fillId="5" fontId="6" numFmtId="0" xfId="0" applyBorder="1" applyFill="1" applyFont="1"/>
    <xf borderId="2" fillId="6" fontId="5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shrinkToFit="0" wrapText="1"/>
    </xf>
    <xf borderId="5" fillId="6" fontId="6" numFmtId="0" xfId="0" applyBorder="1" applyFill="1" applyFont="1"/>
    <xf borderId="3" fillId="6" fontId="6" numFmtId="0" xfId="0" applyBorder="1" applyFill="1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/>
    </xf>
    <xf borderId="2" fillId="5" fontId="5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horizontal="right" vertical="bottom"/>
    </xf>
    <xf borderId="2" fillId="6" fontId="5" numFmtId="0" xfId="0" applyAlignment="1" applyBorder="1" applyFill="1" applyFont="1">
      <alignment vertical="bottom"/>
    </xf>
    <xf borderId="2" fillId="6" fontId="5" numFmtId="0" xfId="0" applyAlignment="1" applyBorder="1" applyFill="1" applyFont="1">
      <alignment horizontal="right" vertical="bottom"/>
    </xf>
    <xf borderId="2" fillId="5" fontId="5" numFmtId="0" xfId="0" applyAlignment="1" applyBorder="1" applyFill="1" applyFont="1">
      <alignment horizontal="right" vertical="bottom"/>
    </xf>
    <xf borderId="9" fillId="7" fontId="1" numFmtId="0" xfId="0" applyAlignment="1" applyBorder="1" applyFill="1" applyFont="1">
      <alignment horizontal="center"/>
    </xf>
    <xf borderId="9" fillId="0" fontId="7" numFmtId="0" xfId="0" applyAlignment="1" applyBorder="1" applyFont="1">
      <alignment readingOrder="0" vertical="center"/>
    </xf>
    <xf borderId="9" fillId="0" fontId="7" numFmtId="0" xfId="0" applyAlignment="1" applyBorder="1" applyFont="1">
      <alignment vertical="center"/>
    </xf>
    <xf borderId="0" fillId="6" fontId="8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9" fillId="0" fontId="7" numFmtId="0" xfId="0" applyAlignment="1" applyBorder="1" applyFont="1">
      <alignment vertical="center"/>
    </xf>
    <xf borderId="10" fillId="8" fontId="9" numFmtId="0" xfId="0" applyAlignment="1" applyBorder="1" applyFill="1" applyFont="1">
      <alignment horizontal="center" readingOrder="0"/>
    </xf>
    <xf borderId="11" fillId="0" fontId="10" numFmtId="0" xfId="0" applyBorder="1" applyFont="1"/>
    <xf borderId="12" fillId="0" fontId="10" numFmtId="0" xfId="0" applyBorder="1" applyFont="1"/>
    <xf borderId="0" fillId="6" fontId="8" numFmtId="0" xfId="0" applyFill="1" applyFont="1"/>
    <xf borderId="13" fillId="6" fontId="8" numFmtId="0" xfId="0" applyAlignment="1" applyBorder="1" applyFill="1" applyFont="1">
      <alignment readingOrder="0"/>
    </xf>
    <xf borderId="10" fillId="6" fontId="8" numFmtId="0" xfId="0" applyAlignment="1" applyBorder="1" applyFill="1" applyFont="1">
      <alignment readingOrder="0"/>
    </xf>
    <xf borderId="14" fillId="6" fontId="8" numFmtId="0" xfId="0" applyAlignment="1" applyBorder="1" applyFill="1" applyFont="1">
      <alignment readingOrder="0"/>
    </xf>
    <xf borderId="13" fillId="6" fontId="8" numFmtId="165" xfId="0" applyAlignment="1" applyBorder="1" applyFill="1" applyFont="1" applyNumberFormat="1">
      <alignment readingOrder="0"/>
    </xf>
    <xf borderId="13" fillId="6" fontId="8" numFmtId="1" xfId="0" applyBorder="1" applyFill="1" applyFont="1" applyNumberFormat="1"/>
    <xf borderId="15" fillId="6" fontId="8" numFmtId="0" xfId="0" applyBorder="1" applyFill="1" applyFont="1"/>
    <xf borderId="16" fillId="6" fontId="11" numFmtId="0" xfId="0" applyAlignment="1" applyBorder="1" applyFill="1" applyFont="1">
      <alignment horizontal="center" readingOrder="0" vertical="center"/>
    </xf>
    <xf borderId="17" fillId="6" fontId="11" numFmtId="0" xfId="0" applyAlignment="1" applyBorder="1" applyFill="1" applyFont="1">
      <alignment horizontal="center" readingOrder="0" vertical="center"/>
    </xf>
    <xf borderId="18" fillId="6" fontId="11" numFmtId="0" xfId="0" applyAlignment="1" applyBorder="1" applyFill="1" applyFont="1">
      <alignment horizontal="center" readingOrder="0" vertical="center"/>
    </xf>
    <xf borderId="19" fillId="9" fontId="12" numFmtId="0" xfId="0" applyAlignment="1" applyBorder="1" applyFill="1" applyFont="1">
      <alignment horizontal="center" readingOrder="0"/>
    </xf>
    <xf borderId="20" fillId="0" fontId="10" numFmtId="0" xfId="0" applyBorder="1" applyFont="1"/>
    <xf borderId="21" fillId="0" fontId="10" numFmtId="0" xfId="0" applyBorder="1" applyFont="1"/>
    <xf borderId="22" fillId="9" fontId="12" numFmtId="0" xfId="0" applyAlignment="1" applyBorder="1" applyFill="1" applyFont="1">
      <alignment horizontal="center" readingOrder="0" vertical="center"/>
    </xf>
    <xf borderId="23" fillId="0" fontId="10" numFmtId="0" xfId="0" applyBorder="1" applyFont="1"/>
    <xf borderId="24" fillId="0" fontId="10" numFmtId="0" xfId="0" applyBorder="1" applyFont="1"/>
    <xf borderId="22" fillId="9" fontId="12" numFmtId="0" xfId="0" applyAlignment="1" applyBorder="1" applyFill="1" applyFont="1">
      <alignment horizontal="center" readingOrder="0"/>
    </xf>
    <xf borderId="25" fillId="10" fontId="13" numFmtId="165" xfId="0" applyAlignment="1" applyBorder="1" applyFill="1" applyFont="1" applyNumberFormat="1">
      <alignment horizontal="left" readingOrder="0" vertical="center"/>
    </xf>
    <xf borderId="25" fillId="10" fontId="13" numFmtId="1" xfId="0" applyAlignment="1" applyBorder="1" applyFill="1" applyFont="1" applyNumberFormat="1">
      <alignment horizontal="left" readingOrder="0" vertical="center"/>
    </xf>
    <xf borderId="25" fillId="10" fontId="13" numFmtId="1" xfId="0" applyAlignment="1" applyBorder="1" applyFill="1" applyFont="1" applyNumberFormat="1">
      <alignment horizontal="right" readingOrder="0" vertical="center"/>
    </xf>
    <xf borderId="25" fillId="11" fontId="14" numFmtId="0" xfId="0" applyAlignment="1" applyBorder="1" applyFill="1" applyFont="1">
      <alignment horizontal="center" readingOrder="0"/>
    </xf>
    <xf borderId="25" fillId="11" fontId="14" numFmtId="165" xfId="0" applyAlignment="1" applyBorder="1" applyFill="1" applyFont="1" applyNumberFormat="1">
      <alignment horizontal="center" readingOrder="0"/>
    </xf>
    <xf borderId="25" fillId="11" fontId="14" numFmtId="1" xfId="0" applyAlignment="1" applyBorder="1" applyFill="1" applyFont="1" applyNumberFormat="1">
      <alignment horizontal="center" readingOrder="0"/>
    </xf>
    <xf borderId="26" fillId="11" fontId="14" numFmtId="0" xfId="0" applyAlignment="1" applyBorder="1" applyFill="1" applyFont="1">
      <alignment horizontal="center" readingOrder="0"/>
    </xf>
    <xf borderId="26" fillId="11" fontId="14" numFmtId="1" xfId="0" applyAlignment="1" applyBorder="1" applyFill="1" applyFont="1" applyNumberFormat="1">
      <alignment horizontal="center" readingOrder="0"/>
    </xf>
    <xf borderId="25" fillId="6" fontId="13" numFmtId="165" xfId="0" applyAlignment="1" applyBorder="1" applyFill="1" applyFont="1" applyNumberFormat="1">
      <alignment horizontal="left" readingOrder="0" vertical="center"/>
    </xf>
    <xf borderId="25" fillId="6" fontId="13" numFmtId="165" xfId="0" applyAlignment="1" applyBorder="1" applyFill="1" applyFont="1" applyNumberFormat="1">
      <alignment horizontal="right" readingOrder="0" vertical="center"/>
    </xf>
    <xf borderId="25" fillId="10" fontId="13" numFmtId="165" xfId="0" applyAlignment="1" applyBorder="1" applyFill="1" applyFont="1" applyNumberFormat="1">
      <alignment horizontal="center" vertical="center"/>
    </xf>
    <xf borderId="25" fillId="10" fontId="13" numFmtId="165" xfId="0" applyAlignment="1" applyBorder="1" applyFill="1" applyFont="1" applyNumberFormat="1">
      <alignment horizontal="center" readingOrder="0" vertical="center"/>
    </xf>
    <xf borderId="25" fillId="10" fontId="13" numFmtId="1" xfId="0" applyAlignment="1" applyBorder="1" applyFill="1" applyFont="1" applyNumberFormat="1">
      <alignment horizontal="center" readingOrder="0" vertical="center"/>
    </xf>
    <xf borderId="27" fillId="8" fontId="15" numFmtId="0" xfId="0" applyAlignment="1" applyBorder="1" applyFill="1" applyFont="1">
      <alignment horizontal="center" readingOrder="0" vertical="top"/>
    </xf>
    <xf borderId="28" fillId="0" fontId="10" numFmtId="0" xfId="0" applyBorder="1" applyFont="1"/>
    <xf borderId="29" fillId="0" fontId="10" numFmtId="0" xfId="0" applyBorder="1" applyFont="1"/>
    <xf borderId="30" fillId="6" fontId="16" numFmtId="0" xfId="0" applyAlignment="1" applyBorder="1" applyFill="1" applyFont="1">
      <alignment horizontal="left" readingOrder="0" vertical="top"/>
    </xf>
    <xf borderId="0" fillId="0" fontId="16" numFmtId="0" xfId="0" applyAlignment="1" applyFont="1">
      <alignment horizontal="left" vertical="top"/>
    </xf>
    <xf borderId="31" fillId="9" fontId="9" numFmtId="0" xfId="0" applyAlignment="1" applyBorder="1" applyFill="1" applyFont="1">
      <alignment horizontal="center" readingOrder="0" vertical="center"/>
    </xf>
    <xf borderId="32" fillId="9" fontId="9" numFmtId="0" xfId="0" applyAlignment="1" applyBorder="1" applyFill="1" applyFont="1">
      <alignment horizontal="left" readingOrder="0" vertical="top"/>
    </xf>
    <xf borderId="0" fillId="9" fontId="9" numFmtId="0" xfId="0" applyAlignment="1" applyFill="1" applyFont="1">
      <alignment horizontal="left" readingOrder="0" vertical="top"/>
    </xf>
    <xf borderId="33" fillId="0" fontId="16" numFmtId="0" xfId="0" applyAlignment="1" applyBorder="1" applyFont="1">
      <alignment horizontal="left" readingOrder="0" vertical="top"/>
    </xf>
    <xf borderId="33" fillId="0" fontId="16" numFmtId="2" xfId="0" applyAlignment="1" applyBorder="1" applyFont="1" applyNumberFormat="1">
      <alignment horizontal="right" readingOrder="0" vertical="top"/>
    </xf>
    <xf borderId="27" fillId="0" fontId="16" numFmtId="1" xfId="0" applyAlignment="1" applyBorder="1" applyFont="1" applyNumberFormat="1">
      <alignment horizontal="right" vertical="top"/>
    </xf>
    <xf borderId="32" fillId="6" fontId="16" numFmtId="0" xfId="0" applyAlignment="1" applyBorder="1" applyFill="1" applyFont="1">
      <alignment horizontal="left" readingOrder="0" vertical="top"/>
    </xf>
    <xf borderId="0" fillId="6" fontId="16" numFmtId="0" xfId="0" applyAlignment="1" applyFill="1" applyFont="1">
      <alignment horizontal="left" readingOrder="0" vertical="top"/>
    </xf>
    <xf borderId="34" fillId="10" fontId="13" numFmtId="1" xfId="0" applyAlignment="1" applyBorder="1" applyFill="1" applyFont="1" applyNumberFormat="1">
      <alignment horizontal="center" vertical="center"/>
    </xf>
    <xf borderId="0" fillId="0" fontId="16" numFmtId="0" xfId="0" applyAlignment="1" applyFont="1">
      <alignment horizontal="left" readingOrder="0" vertical="top"/>
    </xf>
    <xf borderId="0" fillId="0" fontId="16" numFmtId="0" xfId="0" applyAlignment="1" applyFont="1">
      <alignment horizontal="right" readingOrder="0" vertical="top"/>
    </xf>
    <xf borderId="35" fillId="10" fontId="13" numFmtId="1" xfId="0" applyAlignment="1" applyBorder="1" applyFill="1" applyFont="1" applyNumberFormat="1">
      <alignment horizontal="center" readingOrder="0" vertical="center"/>
    </xf>
    <xf borderId="0" fillId="0" fontId="16" numFmtId="0" xfId="0" applyAlignment="1" applyFont="1">
      <alignment horizontal="right" vertical="top"/>
    </xf>
    <xf borderId="36" fillId="12" fontId="11" numFmtId="0" xfId="0" applyAlignment="1" applyBorder="1" applyFill="1" applyFont="1">
      <alignment horizontal="center" readingOrder="0" vertical="center"/>
    </xf>
    <xf borderId="37" fillId="0" fontId="10" numFmtId="0" xfId="0" applyBorder="1" applyFont="1"/>
    <xf borderId="38" fillId="0" fontId="10" numFmtId="0" xfId="0" applyBorder="1" applyFont="1"/>
    <xf borderId="34" fillId="12" fontId="11" numFmtId="0" xfId="0" applyAlignment="1" applyBorder="1" applyFill="1" applyFont="1">
      <alignment horizontal="center" readingOrder="0" vertical="center"/>
    </xf>
    <xf borderId="39" fillId="0" fontId="10" numFmtId="0" xfId="0" applyBorder="1" applyFont="1"/>
    <xf borderId="40" fillId="0" fontId="10" numFmtId="0" xfId="0" applyBorder="1" applyFont="1"/>
    <xf borderId="25" fillId="6" fontId="17" numFmtId="1" xfId="0" applyAlignment="1" applyBorder="1" applyFill="1" applyFont="1" applyNumberFormat="1">
      <alignment horizontal="left" readingOrder="0" vertical="center"/>
    </xf>
    <xf borderId="25" fillId="6" fontId="17" numFmtId="1" xfId="0" applyAlignment="1" applyBorder="1" applyFill="1" applyFont="1" applyNumberFormat="1">
      <alignment horizontal="right" readingOrder="0" vertical="center"/>
    </xf>
    <xf borderId="25" fillId="13" fontId="18" numFmtId="0" xfId="0" applyAlignment="1" applyBorder="1" applyFill="1" applyFont="1">
      <alignment horizontal="center" readingOrder="0" vertical="center"/>
    </xf>
    <xf borderId="25" fillId="13" fontId="18" numFmtId="1" xfId="0" applyAlignment="1" applyBorder="1" applyFill="1" applyFont="1" applyNumberFormat="1">
      <alignment horizontal="center" readingOrder="0" vertical="center"/>
    </xf>
    <xf borderId="34" fillId="13" fontId="18" numFmtId="1" xfId="0" applyAlignment="1" applyBorder="1" applyFill="1" applyFont="1" applyNumberFormat="1">
      <alignment horizontal="center" readingOrder="0" vertical="center"/>
    </xf>
    <xf borderId="35" fillId="10" fontId="13" numFmtId="165" xfId="0" applyAlignment="1" applyBorder="1" applyFill="1" applyFont="1" applyNumberFormat="1">
      <alignment horizontal="center" vertical="center"/>
    </xf>
    <xf borderId="41" fillId="13" fontId="18" numFmtId="0" xfId="0" applyAlignment="1" applyBorder="1" applyFill="1" applyFont="1">
      <alignment horizontal="center" readingOrder="0" vertical="center"/>
    </xf>
    <xf borderId="41" fillId="13" fontId="18" numFmtId="1" xfId="0" applyAlignment="1" applyBorder="1" applyFill="1" applyFont="1" applyNumberFormat="1">
      <alignment horizontal="center" readingOrder="0" vertical="center"/>
    </xf>
    <xf borderId="41" fillId="13" fontId="18" numFmtId="1" xfId="0" applyAlignment="1" applyBorder="1" applyFill="1" applyFont="1" applyNumberFormat="1">
      <alignment horizontal="center" readingOrder="0"/>
    </xf>
    <xf borderId="35" fillId="10" fontId="13" numFmtId="1" xfId="0" applyAlignment="1" applyBorder="1" applyFill="1" applyFont="1" applyNumberFormat="1">
      <alignment horizontal="center" vertical="center"/>
    </xf>
    <xf borderId="35" fillId="10" fontId="13" numFmtId="1" xfId="0" applyAlignment="1" applyBorder="1" applyFill="1" applyFont="1" applyNumberFormat="1">
      <alignment horizontal="center"/>
    </xf>
    <xf borderId="25" fillId="6" fontId="13" numFmtId="165" xfId="0" applyAlignment="1" applyBorder="1" applyFill="1" applyFont="1" applyNumberFormat="1">
      <alignment horizontal="center" vertical="center"/>
    </xf>
    <xf borderId="25" fillId="6" fontId="13" numFmtId="165" xfId="0" applyAlignment="1" applyBorder="1" applyFill="1" applyFont="1" applyNumberFormat="1">
      <alignment horizontal="center" readingOrder="0" vertical="center"/>
    </xf>
    <xf borderId="25" fillId="6" fontId="13" numFmtId="1" xfId="0" applyAlignment="1" applyBorder="1" applyFill="1" applyFont="1" applyNumberFormat="1">
      <alignment horizontal="center" readingOrder="0" vertical="center"/>
    </xf>
    <xf borderId="34" fillId="6" fontId="13" numFmtId="1" xfId="0" applyAlignment="1" applyBorder="1" applyFill="1" applyFont="1" applyNumberFormat="1">
      <alignment horizontal="center" vertical="center"/>
    </xf>
    <xf borderId="14" fillId="6" fontId="13" numFmtId="1" xfId="0" applyAlignment="1" applyBorder="1" applyFill="1" applyFont="1" applyNumberFormat="1">
      <alignment horizontal="center" readingOrder="0" vertical="center"/>
    </xf>
    <xf borderId="14" fillId="6" fontId="13" numFmtId="165" xfId="0" applyAlignment="1" applyBorder="1" applyFill="1" applyFont="1" applyNumberFormat="1">
      <alignment horizontal="center" vertical="center"/>
    </xf>
    <xf borderId="14" fillId="6" fontId="13" numFmtId="1" xfId="0" applyAlignment="1" applyBorder="1" applyFill="1" applyFont="1" applyNumberFormat="1">
      <alignment horizontal="center" vertical="center"/>
    </xf>
    <xf borderId="14" fillId="6" fontId="13" numFmtId="1" xfId="0" applyAlignment="1" applyBorder="1" applyFill="1" applyFont="1" applyNumberFormat="1">
      <alignment horizontal="center"/>
    </xf>
    <xf borderId="25" fillId="14" fontId="13" numFmtId="165" xfId="0" applyAlignment="1" applyBorder="1" applyFill="1" applyFont="1" applyNumberFormat="1">
      <alignment horizontal="left" readingOrder="0" vertical="center"/>
    </xf>
    <xf borderId="25" fillId="14" fontId="13" numFmtId="1" xfId="0" applyAlignment="1" applyBorder="1" applyFill="1" applyFont="1" applyNumberFormat="1">
      <alignment horizontal="left" readingOrder="0" vertical="center"/>
    </xf>
    <xf borderId="25" fillId="14" fontId="13" numFmtId="1" xfId="0" applyAlignment="1" applyBorder="1" applyFill="1" applyFont="1" applyNumberFormat="1">
      <alignment horizontal="right" readingOrder="0" vertical="center"/>
    </xf>
    <xf borderId="14" fillId="10" fontId="13" numFmtId="165" xfId="0" applyAlignment="1" applyBorder="1" applyFill="1" applyFont="1" applyNumberFormat="1">
      <alignment horizontal="center" readingOrder="0" vertical="center"/>
    </xf>
    <xf borderId="14" fillId="10" fontId="13" numFmtId="165" xfId="0" applyAlignment="1" applyBorder="1" applyFill="1" applyFont="1" applyNumberFormat="1">
      <alignment horizontal="center" vertical="center"/>
    </xf>
    <xf borderId="14" fillId="10" fontId="13" numFmtId="1" xfId="0" applyAlignment="1" applyBorder="1" applyFill="1" applyFont="1" applyNumberFormat="1">
      <alignment horizontal="center" vertical="center"/>
    </xf>
    <xf borderId="14" fillId="10" fontId="13" numFmtId="1" xfId="0" applyAlignment="1" applyBorder="1" applyFill="1" applyFont="1" applyNumberFormat="1">
      <alignment horizontal="center"/>
    </xf>
    <xf borderId="25" fillId="15" fontId="17" numFmtId="165" xfId="0" applyAlignment="1" applyBorder="1" applyFill="1" applyFont="1" applyNumberFormat="1">
      <alignment horizontal="left" readingOrder="0" vertical="center"/>
    </xf>
    <xf borderId="25" fillId="15" fontId="17" numFmtId="1" xfId="0" applyAlignment="1" applyBorder="1" applyFill="1" applyFont="1" applyNumberFormat="1">
      <alignment horizontal="left" readingOrder="0" vertical="center"/>
    </xf>
    <xf borderId="25" fillId="15" fontId="17" numFmtId="1" xfId="0" applyAlignment="1" applyBorder="1" applyFill="1" applyFont="1" applyNumberFormat="1">
      <alignment horizontal="right" readingOrder="0" vertical="center"/>
    </xf>
    <xf borderId="25" fillId="14" fontId="13" numFmtId="165" xfId="0" applyAlignment="1" applyBorder="1" applyFill="1" applyFont="1" applyNumberFormat="1">
      <alignment horizontal="center" vertical="center"/>
    </xf>
    <xf borderId="25" fillId="14" fontId="13" numFmtId="165" xfId="0" applyAlignment="1" applyBorder="1" applyFill="1" applyFont="1" applyNumberFormat="1">
      <alignment horizontal="center" readingOrder="0" vertical="center"/>
    </xf>
    <xf borderId="25" fillId="14" fontId="13" numFmtId="1" xfId="0" applyAlignment="1" applyBorder="1" applyFill="1" applyFont="1" applyNumberFormat="1">
      <alignment horizontal="center" readingOrder="0" vertical="center"/>
    </xf>
    <xf borderId="34" fillId="14" fontId="13" numFmtId="1" xfId="0" applyAlignment="1" applyBorder="1" applyFill="1" applyFont="1" applyNumberFormat="1">
      <alignment horizontal="center" vertical="center"/>
    </xf>
    <xf borderId="42" fillId="14" fontId="13" numFmtId="165" xfId="0" applyAlignment="1" applyBorder="1" applyFill="1" applyFont="1" applyNumberFormat="1">
      <alignment horizontal="center" readingOrder="0" vertical="center"/>
    </xf>
    <xf borderId="43" fillId="14" fontId="13" numFmtId="165" xfId="0" applyAlignment="1" applyBorder="1" applyFill="1" applyFont="1" applyNumberFormat="1">
      <alignment horizontal="center" readingOrder="0" vertical="center"/>
    </xf>
    <xf borderId="43" fillId="14" fontId="13" numFmtId="1" xfId="0" applyAlignment="1" applyBorder="1" applyFill="1" applyFont="1" applyNumberFormat="1">
      <alignment horizontal="center" readingOrder="0" vertical="center"/>
    </xf>
    <xf borderId="44" fillId="14" fontId="13" numFmtId="1" xfId="0" applyAlignment="1" applyBorder="1" applyFill="1" applyFont="1" applyNumberFormat="1">
      <alignment horizontal="center"/>
    </xf>
    <xf borderId="14" fillId="16" fontId="19" numFmtId="0" xfId="0" applyAlignment="1" applyBorder="1" applyFill="1" applyFont="1">
      <alignment horizontal="left" readingOrder="0" vertical="center"/>
    </xf>
    <xf borderId="14" fillId="16" fontId="19" numFmtId="1" xfId="0" applyAlignment="1" applyBorder="1" applyFill="1" applyFont="1" applyNumberFormat="1">
      <alignment horizontal="left" readingOrder="0" vertical="center"/>
    </xf>
    <xf borderId="14" fillId="17" fontId="20" numFmtId="2" xfId="0" applyAlignment="1" applyBorder="1" applyFill="1" applyFont="1" applyNumberFormat="1">
      <alignment horizontal="left" readingOrder="0" vertical="center"/>
    </xf>
    <xf borderId="36" fillId="17" fontId="20" numFmtId="1" xfId="0" applyAlignment="1" applyBorder="1" applyFill="1" applyFont="1" applyNumberFormat="1">
      <alignment horizontal="right" vertical="center"/>
    </xf>
    <xf borderId="25" fillId="15" fontId="21" numFmtId="165" xfId="0" applyAlignment="1" applyBorder="1" applyFill="1" applyFont="1" applyNumberFormat="1">
      <alignment horizontal="right" vertical="center"/>
    </xf>
    <xf borderId="25" fillId="15" fontId="21" numFmtId="165" xfId="0" applyAlignment="1" applyBorder="1" applyFill="1" applyFont="1" applyNumberFormat="1">
      <alignment horizontal="right" readingOrder="0" vertical="center"/>
    </xf>
    <xf borderId="25" fillId="15" fontId="21" numFmtId="1" xfId="0" applyAlignment="1" applyBorder="1" applyFill="1" applyFont="1" applyNumberFormat="1">
      <alignment horizontal="right" readingOrder="0" vertical="center"/>
    </xf>
    <xf borderId="34" fillId="15" fontId="21" numFmtId="1" xfId="0" applyAlignment="1" applyBorder="1" applyFill="1" applyFont="1" applyNumberFormat="1">
      <alignment horizontal="right" readingOrder="0" vertical="center"/>
    </xf>
    <xf borderId="45" fillId="15" fontId="21" numFmtId="165" xfId="0" applyAlignment="1" applyBorder="1" applyFill="1" applyFont="1" applyNumberFormat="1">
      <alignment horizontal="center" readingOrder="0" vertical="center"/>
    </xf>
    <xf borderId="8" fillId="15" fontId="21" numFmtId="165" xfId="0" applyAlignment="1" applyBorder="1" applyFill="1" applyFont="1" applyNumberFormat="1">
      <alignment horizontal="center" readingOrder="0" vertical="center"/>
    </xf>
    <xf borderId="8" fillId="15" fontId="21" numFmtId="1" xfId="0" applyAlignment="1" applyBorder="1" applyFill="1" applyFont="1" applyNumberFormat="1">
      <alignment horizontal="center" readingOrder="0" vertical="center"/>
    </xf>
    <xf borderId="46" fillId="15" fontId="21" numFmtId="1" xfId="0" applyAlignment="1" applyBorder="1" applyFill="1" applyFont="1" applyNumberFormat="1">
      <alignment horizontal="center"/>
    </xf>
    <xf borderId="0" fillId="6" fontId="15" numFmtId="0" xfId="0" applyAlignment="1" applyFill="1" applyFont="1">
      <alignment horizontal="center" readingOrder="0" vertical="center"/>
    </xf>
    <xf borderId="47" fillId="9" fontId="12" numFmtId="0" xfId="0" applyAlignment="1" applyBorder="1" applyFill="1" applyFont="1">
      <alignment horizontal="center" readingOrder="0" vertical="center"/>
    </xf>
    <xf borderId="48" fillId="0" fontId="10" numFmtId="0" xfId="0" applyBorder="1" applyFont="1"/>
    <xf borderId="49" fillId="0" fontId="10" numFmtId="0" xfId="0" applyBorder="1" applyFont="1"/>
    <xf borderId="50" fillId="11" fontId="22" numFmtId="0" xfId="0" applyAlignment="1" applyBorder="1" applyFill="1" applyFont="1">
      <alignment horizontal="center" readingOrder="0"/>
    </xf>
    <xf borderId="50" fillId="11" fontId="22" numFmtId="2" xfId="0" applyAlignment="1" applyBorder="1" applyFill="1" applyFont="1" applyNumberFormat="1">
      <alignment horizontal="center" readingOrder="0"/>
    </xf>
    <xf borderId="50" fillId="11" fontId="22" numFmtId="1" xfId="0" applyAlignment="1" applyBorder="1" applyFill="1" applyFont="1" applyNumberFormat="1">
      <alignment horizontal="center" readingOrder="0"/>
    </xf>
    <xf borderId="50" fillId="11" fontId="22" numFmtId="165" xfId="0" applyAlignment="1" applyBorder="1" applyFill="1" applyFont="1" applyNumberFormat="1">
      <alignment horizontal="center" readingOrder="0"/>
    </xf>
    <xf borderId="50" fillId="6" fontId="23" numFmtId="0" xfId="0" applyBorder="1" applyFill="1" applyFont="1"/>
    <xf borderId="50" fillId="6" fontId="23" numFmtId="2" xfId="0" applyBorder="1" applyFill="1" applyFont="1" applyNumberFormat="1"/>
    <xf borderId="50" fillId="6" fontId="23" numFmtId="1" xfId="0" applyBorder="1" applyFill="1" applyFont="1" applyNumberFormat="1"/>
    <xf borderId="25" fillId="6" fontId="17" numFmtId="1" xfId="0" applyAlignment="1" applyBorder="1" applyFill="1" applyFont="1" applyNumberFormat="1">
      <alignment horizontal="left" vertical="center"/>
    </xf>
    <xf borderId="50" fillId="6" fontId="23" numFmtId="165" xfId="0" applyBorder="1" applyFill="1" applyFont="1" applyNumberFormat="1"/>
    <xf borderId="0" fillId="6" fontId="4" numFmtId="0" xfId="0" applyFill="1" applyFont="1"/>
    <xf borderId="51" fillId="6" fontId="3" numFmtId="0" xfId="0" applyAlignment="1" applyBorder="1" applyFill="1" applyFont="1">
      <alignment horizontal="left" readingOrder="0" vertical="center"/>
    </xf>
    <xf borderId="51" fillId="6" fontId="3" numFmtId="2" xfId="0" applyAlignment="1" applyBorder="1" applyFill="1" applyFont="1" applyNumberFormat="1">
      <alignment horizontal="right" readingOrder="0" vertical="center"/>
    </xf>
    <xf borderId="52" fillId="6" fontId="3" numFmtId="165" xfId="0" applyAlignment="1" applyBorder="1" applyFill="1" applyFont="1" applyNumberFormat="1">
      <alignment horizontal="right" readingOrder="0" vertical="center"/>
    </xf>
    <xf borderId="34" fillId="6" fontId="13" numFmtId="165" xfId="0" applyAlignment="1" applyBorder="1" applyFill="1" applyFont="1" applyNumberFormat="1">
      <alignment horizontal="center" vertical="center"/>
    </xf>
    <xf borderId="53" fillId="6" fontId="13" numFmtId="1" xfId="0" applyAlignment="1" applyBorder="1" applyFill="1" applyFont="1" applyNumberFormat="1">
      <alignment horizontal="center" readingOrder="0" vertical="center"/>
    </xf>
    <xf borderId="53" fillId="6" fontId="13" numFmtId="0" xfId="0" applyAlignment="1" applyBorder="1" applyFill="1" applyFont="1">
      <alignment horizontal="center"/>
    </xf>
    <xf borderId="54" fillId="18" fontId="15" numFmtId="0" xfId="0" applyAlignment="1" applyBorder="1" applyFill="1" applyFont="1">
      <alignment horizontal="center" readingOrder="0" vertical="center"/>
    </xf>
    <xf borderId="55" fillId="0" fontId="10" numFmtId="0" xfId="0" applyBorder="1" applyFont="1"/>
    <xf borderId="56" fillId="0" fontId="10" numFmtId="0" xfId="0" applyBorder="1" applyFont="1"/>
    <xf borderId="50" fillId="4" fontId="15" numFmtId="0" xfId="0" applyAlignment="1" applyBorder="1" applyFill="1" applyFont="1">
      <alignment horizontal="center" readingOrder="0" vertical="center"/>
    </xf>
    <xf borderId="50" fillId="4" fontId="15" numFmtId="2" xfId="0" applyAlignment="1" applyBorder="1" applyFill="1" applyFont="1" applyNumberFormat="1">
      <alignment horizontal="center" readingOrder="0" vertical="center"/>
    </xf>
    <xf borderId="50" fillId="4" fontId="15" numFmtId="165" xfId="0" applyAlignment="1" applyBorder="1" applyFill="1" applyFont="1" applyNumberFormat="1">
      <alignment horizontal="center" readingOrder="0" vertical="center"/>
    </xf>
    <xf borderId="50" fillId="4" fontId="15" numFmtId="1" xfId="0" applyAlignment="1" applyBorder="1" applyFill="1" applyFont="1" applyNumberFormat="1">
      <alignment horizontal="center" readingOrder="0" vertical="center"/>
    </xf>
    <xf borderId="50" fillId="4" fontId="15" numFmtId="0" xfId="0" applyAlignment="1" applyBorder="1" applyFill="1" applyFont="1">
      <alignment horizontal="center"/>
    </xf>
    <xf borderId="50" fillId="6" fontId="23" numFmtId="0" xfId="0" applyAlignment="1" applyBorder="1" applyFill="1" applyFont="1">
      <alignment horizontal="left" readingOrder="0" vertical="center"/>
    </xf>
    <xf borderId="50" fillId="6" fontId="23" numFmtId="0" xfId="0" applyAlignment="1" applyBorder="1" applyFill="1" applyFont="1">
      <alignment readingOrder="0"/>
    </xf>
    <xf borderId="50" fillId="6" fontId="23" numFmtId="2" xfId="0" applyAlignment="1" applyBorder="1" applyFill="1" applyFont="1" applyNumberFormat="1">
      <alignment horizontal="left" readingOrder="0" vertical="center"/>
    </xf>
    <xf borderId="50" fillId="6" fontId="23" numFmtId="165" xfId="0" applyAlignment="1" applyBorder="1" applyFill="1" applyFont="1" applyNumberFormat="1">
      <alignment horizontal="left" vertical="center"/>
    </xf>
    <xf borderId="50" fillId="6" fontId="23" numFmtId="165" xfId="0" applyAlignment="1" applyBorder="1" applyFill="1" applyFont="1" applyNumberFormat="1">
      <alignment horizontal="left" readingOrder="0" vertical="center"/>
    </xf>
    <xf borderId="50" fillId="6" fontId="23" numFmtId="1" xfId="0" applyAlignment="1" applyBorder="1" applyFill="1" applyFont="1" applyNumberFormat="1">
      <alignment horizontal="left" vertical="center"/>
    </xf>
    <xf borderId="50" fillId="6" fontId="23" numFmtId="0" xfId="0" applyAlignment="1" applyBorder="1" applyFill="1" applyFont="1">
      <alignment readingOrder="0"/>
    </xf>
    <xf borderId="50" fillId="6" fontId="23" numFmtId="1" xfId="0" applyAlignment="1" applyBorder="1" applyFill="1" applyFont="1" applyNumberFormat="1">
      <alignment horizontal="left" readingOrder="0" vertical="center"/>
    </xf>
    <xf borderId="50" fillId="6" fontId="23" numFmtId="0" xfId="0" applyAlignment="1" applyBorder="1" applyFill="1" applyFont="1">
      <alignment horizontal="center" readingOrder="0"/>
    </xf>
    <xf borderId="50" fillId="6" fontId="23" numFmtId="0" xfId="0" applyAlignment="1" applyBorder="1" applyFill="1" applyFont="1">
      <alignment horizontal="center"/>
    </xf>
    <xf borderId="50" fillId="6" fontId="23" numFmtId="2" xfId="0" applyAlignment="1" applyBorder="1" applyFill="1" applyFont="1" applyNumberFormat="1">
      <alignment horizontal="center" readingOrder="0"/>
    </xf>
    <xf borderId="50" fillId="6" fontId="23" numFmtId="1" xfId="0" applyAlignment="1" applyBorder="1" applyFill="1" applyFont="1" applyNumberFormat="1">
      <alignment horizontal="center" readingOrder="0"/>
    </xf>
    <xf borderId="50" fillId="6" fontId="23" numFmtId="0" xfId="0" applyAlignment="1" applyBorder="1" applyFill="1" applyFont="1">
      <alignment horizontal="center" readingOrder="0" vertical="center"/>
    </xf>
    <xf borderId="50" fillId="6" fontId="23" numFmtId="2" xfId="0" applyAlignment="1" applyBorder="1" applyFill="1" applyFont="1" applyNumberFormat="1">
      <alignment horizontal="center" readingOrder="0" vertical="center"/>
    </xf>
    <xf borderId="50" fillId="6" fontId="23" numFmtId="1" xfId="0" applyAlignment="1" applyBorder="1" applyFill="1" applyFont="1" applyNumberFormat="1">
      <alignment horizontal="center" readingOrder="0" vertical="center"/>
    </xf>
    <xf borderId="50" fillId="6" fontId="23" numFmtId="0" xfId="0" applyAlignment="1" applyBorder="1" applyFill="1" applyFont="1">
      <alignment horizontal="left" readingOrder="0" shrinkToFit="0" vertical="center" wrapText="1"/>
    </xf>
    <xf borderId="50" fillId="6" fontId="23" numFmtId="2" xfId="0" applyAlignment="1" applyBorder="1" applyFill="1" applyFont="1" applyNumberFormat="1">
      <alignment horizontal="right" shrinkToFit="0" vertical="center" wrapText="1"/>
    </xf>
    <xf borderId="50" fillId="6" fontId="23" numFmtId="1" xfId="0" applyAlignment="1" applyBorder="1" applyFill="1" applyFont="1" applyNumberFormat="1">
      <alignment horizontal="left" readingOrder="0" shrinkToFit="0" vertical="center" wrapText="1"/>
    </xf>
    <xf borderId="50" fillId="6" fontId="23" numFmtId="2" xfId="0" applyAlignment="1" applyBorder="1" applyFill="1" applyFont="1" applyNumberFormat="1">
      <alignment horizontal="right" readingOrder="0" shrinkToFit="0" vertical="center" wrapText="1"/>
    </xf>
    <xf borderId="50" fillId="6" fontId="23" numFmtId="0" xfId="0" applyAlignment="1" applyBorder="1" applyFill="1" applyFont="1">
      <alignment horizontal="right" shrinkToFit="0" vertical="center" wrapText="1"/>
    </xf>
    <xf borderId="50" fillId="6" fontId="23" numFmtId="1" xfId="0" applyAlignment="1" applyBorder="1" applyFill="1" applyFont="1" applyNumberFormat="1">
      <alignment horizontal="right" shrinkToFit="0" vertical="center" wrapText="1"/>
    </xf>
    <xf borderId="50" fillId="6" fontId="23" numFmtId="0" xfId="0" applyAlignment="1" applyBorder="1" applyFill="1" applyFont="1">
      <alignment horizontal="right" vertical="center"/>
    </xf>
    <xf borderId="50" fillId="6" fontId="23" numFmtId="0" xfId="0" applyAlignment="1" applyBorder="1" applyFill="1" applyFont="1">
      <alignment horizontal="left" vertical="center"/>
    </xf>
    <xf borderId="50" fillId="6" fontId="23" numFmtId="2" xfId="0" applyAlignment="1" applyBorder="1" applyFill="1" applyFont="1" applyNumberFormat="1">
      <alignment horizontal="left" vertical="center"/>
    </xf>
    <xf borderId="0" fillId="0" fontId="2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</dxfs>
  <tableStyles count="11">
    <tableStyle count="2" pivot="0" name="機器設備-style">
      <tableStyleElement dxfId="1" type="firstRowStripe"/>
      <tableStyleElement dxfId="3" type="secondRowStripe"/>
    </tableStyle>
    <tableStyle count="2" pivot="0" name="食譜-style">
      <tableStyleElement dxfId="1" type="firstRowStripe"/>
      <tableStyleElement dxfId="3" type="secondRowStripe"/>
    </tableStyle>
    <tableStyle count="2" pivot="0" name="中間配方-style">
      <tableStyleElement dxfId="2" type="firstRowStripe"/>
      <tableStyleElement dxfId="3" type="secondRowStripe"/>
    </tableStyle>
    <tableStyle count="2" pivot="0" name="食譜-style 2">
      <tableStyleElement dxfId="1" type="firstRowStripe"/>
      <tableStyleElement dxfId="3" type="secondRowStripe"/>
    </tableStyle>
    <tableStyle count="2" pivot="0" name="中間配方-style 2">
      <tableStyleElement dxfId="2" type="firstRowStripe"/>
      <tableStyleElement dxfId="3" type="secondRowStripe"/>
    </tableStyle>
    <tableStyle count="2" pivot="0" name="食譜-style 3">
      <tableStyleElement dxfId="3" type="firstRowStripe"/>
      <tableStyleElement dxfId="1" type="secondRowStripe"/>
    </tableStyle>
    <tableStyle count="2" pivot="0" name="中間配方-style 3">
      <tableStyleElement dxfId="2" type="firstRowStripe"/>
      <tableStyleElement dxfId="3" type="secondRowStripe"/>
    </tableStyle>
    <tableStyle count="2" pivot="0" name="食譜-style 4">
      <tableStyleElement dxfId="1" type="firstRowStripe"/>
      <tableStyleElement dxfId="3" type="secondRowStripe"/>
    </tableStyle>
    <tableStyle count="2" pivot="0" name="食譜-style 5">
      <tableStyleElement dxfId="1" type="firstRowStripe"/>
      <tableStyleElement dxfId="3" type="secondRowStripe"/>
    </tableStyle>
    <tableStyle count="2" pivot="0" name="圖片對照表-style">
      <tableStyleElement dxfId="6" type="firstRowStripe"/>
      <tableStyleElement dxfId="3" type="secondRowStripe"/>
    </tableStyle>
    <tableStyle count="2" pivot="0" name="圖片對照表-style 2"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95.png"/><Relationship Id="rId42" Type="http://schemas.openxmlformats.org/officeDocument/2006/relationships/image" Target="../media/image79.png"/><Relationship Id="rId41" Type="http://schemas.openxmlformats.org/officeDocument/2006/relationships/image" Target="../media/image2.png"/><Relationship Id="rId44" Type="http://schemas.openxmlformats.org/officeDocument/2006/relationships/image" Target="../media/image46.png"/><Relationship Id="rId43" Type="http://schemas.openxmlformats.org/officeDocument/2006/relationships/image" Target="../media/image75.png"/><Relationship Id="rId46" Type="http://schemas.openxmlformats.org/officeDocument/2006/relationships/image" Target="../media/image29.png"/><Relationship Id="rId45" Type="http://schemas.openxmlformats.org/officeDocument/2006/relationships/image" Target="../media/image97.png"/><Relationship Id="rId107" Type="http://schemas.openxmlformats.org/officeDocument/2006/relationships/image" Target="../media/image110.png"/><Relationship Id="rId106" Type="http://schemas.openxmlformats.org/officeDocument/2006/relationships/image" Target="../media/image61.png"/><Relationship Id="rId105" Type="http://schemas.openxmlformats.org/officeDocument/2006/relationships/image" Target="../media/image59.png"/><Relationship Id="rId104" Type="http://schemas.openxmlformats.org/officeDocument/2006/relationships/image" Target="../media/image106.png"/><Relationship Id="rId109" Type="http://schemas.openxmlformats.org/officeDocument/2006/relationships/image" Target="../media/image136.png"/><Relationship Id="rId108" Type="http://schemas.openxmlformats.org/officeDocument/2006/relationships/image" Target="../media/image132.png"/><Relationship Id="rId48" Type="http://schemas.openxmlformats.org/officeDocument/2006/relationships/image" Target="../media/image18.png"/><Relationship Id="rId47" Type="http://schemas.openxmlformats.org/officeDocument/2006/relationships/image" Target="../media/image72.png"/><Relationship Id="rId49" Type="http://schemas.openxmlformats.org/officeDocument/2006/relationships/image" Target="../media/image5.png"/><Relationship Id="rId103" Type="http://schemas.openxmlformats.org/officeDocument/2006/relationships/image" Target="../media/image134.png"/><Relationship Id="rId102" Type="http://schemas.openxmlformats.org/officeDocument/2006/relationships/image" Target="../media/image135.png"/><Relationship Id="rId101" Type="http://schemas.openxmlformats.org/officeDocument/2006/relationships/image" Target="../media/image56.png"/><Relationship Id="rId100" Type="http://schemas.openxmlformats.org/officeDocument/2006/relationships/image" Target="../media/image123.png"/><Relationship Id="rId31" Type="http://schemas.openxmlformats.org/officeDocument/2006/relationships/image" Target="../media/image124.png"/><Relationship Id="rId30" Type="http://schemas.openxmlformats.org/officeDocument/2006/relationships/image" Target="../media/image48.png"/><Relationship Id="rId33" Type="http://schemas.openxmlformats.org/officeDocument/2006/relationships/image" Target="../media/image107.png"/><Relationship Id="rId32" Type="http://schemas.openxmlformats.org/officeDocument/2006/relationships/image" Target="../media/image10.png"/><Relationship Id="rId35" Type="http://schemas.openxmlformats.org/officeDocument/2006/relationships/image" Target="../media/image71.png"/><Relationship Id="rId34" Type="http://schemas.openxmlformats.org/officeDocument/2006/relationships/image" Target="../media/image6.png"/><Relationship Id="rId37" Type="http://schemas.openxmlformats.org/officeDocument/2006/relationships/image" Target="../media/image66.png"/><Relationship Id="rId36" Type="http://schemas.openxmlformats.org/officeDocument/2006/relationships/image" Target="../media/image52.png"/><Relationship Id="rId39" Type="http://schemas.openxmlformats.org/officeDocument/2006/relationships/image" Target="../media/image69.png"/><Relationship Id="rId38" Type="http://schemas.openxmlformats.org/officeDocument/2006/relationships/image" Target="../media/image7.png"/><Relationship Id="rId20" Type="http://schemas.openxmlformats.org/officeDocument/2006/relationships/image" Target="../media/image86.png"/><Relationship Id="rId22" Type="http://schemas.openxmlformats.org/officeDocument/2006/relationships/image" Target="../media/image19.png"/><Relationship Id="rId21" Type="http://schemas.openxmlformats.org/officeDocument/2006/relationships/image" Target="../media/image63.png"/><Relationship Id="rId24" Type="http://schemas.openxmlformats.org/officeDocument/2006/relationships/image" Target="../media/image65.png"/><Relationship Id="rId23" Type="http://schemas.openxmlformats.org/officeDocument/2006/relationships/image" Target="../media/image15.png"/><Relationship Id="rId129" Type="http://schemas.openxmlformats.org/officeDocument/2006/relationships/image" Target="../media/image133.png"/><Relationship Id="rId128" Type="http://schemas.openxmlformats.org/officeDocument/2006/relationships/image" Target="../media/image87.png"/><Relationship Id="rId127" Type="http://schemas.openxmlformats.org/officeDocument/2006/relationships/image" Target="../media/image137.png"/><Relationship Id="rId126" Type="http://schemas.openxmlformats.org/officeDocument/2006/relationships/image" Target="../media/image80.png"/><Relationship Id="rId26" Type="http://schemas.openxmlformats.org/officeDocument/2006/relationships/image" Target="../media/image83.png"/><Relationship Id="rId121" Type="http://schemas.openxmlformats.org/officeDocument/2006/relationships/image" Target="../media/image126.png"/><Relationship Id="rId25" Type="http://schemas.openxmlformats.org/officeDocument/2006/relationships/image" Target="../media/image57.png"/><Relationship Id="rId120" Type="http://schemas.openxmlformats.org/officeDocument/2006/relationships/image" Target="../media/image102.png"/><Relationship Id="rId28" Type="http://schemas.openxmlformats.org/officeDocument/2006/relationships/image" Target="../media/image143.png"/><Relationship Id="rId27" Type="http://schemas.openxmlformats.org/officeDocument/2006/relationships/image" Target="../media/image60.png"/><Relationship Id="rId125" Type="http://schemas.openxmlformats.org/officeDocument/2006/relationships/image" Target="../media/image82.png"/><Relationship Id="rId29" Type="http://schemas.openxmlformats.org/officeDocument/2006/relationships/image" Target="../media/image70.png"/><Relationship Id="rId124" Type="http://schemas.openxmlformats.org/officeDocument/2006/relationships/image" Target="../media/image116.png"/><Relationship Id="rId123" Type="http://schemas.openxmlformats.org/officeDocument/2006/relationships/image" Target="../media/image141.png"/><Relationship Id="rId122" Type="http://schemas.openxmlformats.org/officeDocument/2006/relationships/image" Target="../media/image120.png"/><Relationship Id="rId95" Type="http://schemas.openxmlformats.org/officeDocument/2006/relationships/image" Target="../media/image44.png"/><Relationship Id="rId94" Type="http://schemas.openxmlformats.org/officeDocument/2006/relationships/image" Target="../media/image105.png"/><Relationship Id="rId97" Type="http://schemas.openxmlformats.org/officeDocument/2006/relationships/image" Target="../media/image127.png"/><Relationship Id="rId96" Type="http://schemas.openxmlformats.org/officeDocument/2006/relationships/image" Target="../media/image128.png"/><Relationship Id="rId11" Type="http://schemas.openxmlformats.org/officeDocument/2006/relationships/image" Target="../media/image20.png"/><Relationship Id="rId99" Type="http://schemas.openxmlformats.org/officeDocument/2006/relationships/image" Target="../media/image99.png"/><Relationship Id="rId10" Type="http://schemas.openxmlformats.org/officeDocument/2006/relationships/image" Target="../media/image8.png"/><Relationship Id="rId98" Type="http://schemas.openxmlformats.org/officeDocument/2006/relationships/image" Target="../media/image54.png"/><Relationship Id="rId13" Type="http://schemas.openxmlformats.org/officeDocument/2006/relationships/image" Target="../media/image4.png"/><Relationship Id="rId12" Type="http://schemas.openxmlformats.org/officeDocument/2006/relationships/image" Target="../media/image9.png"/><Relationship Id="rId91" Type="http://schemas.openxmlformats.org/officeDocument/2006/relationships/image" Target="../media/image77.png"/><Relationship Id="rId90" Type="http://schemas.openxmlformats.org/officeDocument/2006/relationships/image" Target="../media/image154.png"/><Relationship Id="rId93" Type="http://schemas.openxmlformats.org/officeDocument/2006/relationships/image" Target="../media/image131.png"/><Relationship Id="rId92" Type="http://schemas.openxmlformats.org/officeDocument/2006/relationships/image" Target="../media/image38.png"/><Relationship Id="rId118" Type="http://schemas.openxmlformats.org/officeDocument/2006/relationships/image" Target="../media/image130.png"/><Relationship Id="rId117" Type="http://schemas.openxmlformats.org/officeDocument/2006/relationships/image" Target="../media/image112.png"/><Relationship Id="rId116" Type="http://schemas.openxmlformats.org/officeDocument/2006/relationships/image" Target="../media/image125.png"/><Relationship Id="rId115" Type="http://schemas.openxmlformats.org/officeDocument/2006/relationships/image" Target="../media/image104.png"/><Relationship Id="rId119" Type="http://schemas.openxmlformats.org/officeDocument/2006/relationships/image" Target="../media/image73.png"/><Relationship Id="rId15" Type="http://schemas.openxmlformats.org/officeDocument/2006/relationships/image" Target="../media/image3.png"/><Relationship Id="rId110" Type="http://schemas.openxmlformats.org/officeDocument/2006/relationships/image" Target="../media/image138.png"/><Relationship Id="rId14" Type="http://schemas.openxmlformats.org/officeDocument/2006/relationships/image" Target="../media/image41.png"/><Relationship Id="rId17" Type="http://schemas.openxmlformats.org/officeDocument/2006/relationships/image" Target="../media/image11.png"/><Relationship Id="rId16" Type="http://schemas.openxmlformats.org/officeDocument/2006/relationships/image" Target="../media/image14.png"/><Relationship Id="rId19" Type="http://schemas.openxmlformats.org/officeDocument/2006/relationships/image" Target="../media/image35.png"/><Relationship Id="rId114" Type="http://schemas.openxmlformats.org/officeDocument/2006/relationships/image" Target="../media/image119.png"/><Relationship Id="rId18" Type="http://schemas.openxmlformats.org/officeDocument/2006/relationships/image" Target="../media/image43.png"/><Relationship Id="rId113" Type="http://schemas.openxmlformats.org/officeDocument/2006/relationships/image" Target="../media/image67.png"/><Relationship Id="rId112" Type="http://schemas.openxmlformats.org/officeDocument/2006/relationships/image" Target="../media/image101.png"/><Relationship Id="rId111" Type="http://schemas.openxmlformats.org/officeDocument/2006/relationships/image" Target="../media/image129.png"/><Relationship Id="rId84" Type="http://schemas.openxmlformats.org/officeDocument/2006/relationships/image" Target="../media/image139.png"/><Relationship Id="rId83" Type="http://schemas.openxmlformats.org/officeDocument/2006/relationships/image" Target="../media/image81.png"/><Relationship Id="rId86" Type="http://schemas.openxmlformats.org/officeDocument/2006/relationships/image" Target="../media/image39.png"/><Relationship Id="rId85" Type="http://schemas.openxmlformats.org/officeDocument/2006/relationships/image" Target="../media/image68.png"/><Relationship Id="rId88" Type="http://schemas.openxmlformats.org/officeDocument/2006/relationships/image" Target="../media/image103.png"/><Relationship Id="rId150" Type="http://schemas.openxmlformats.org/officeDocument/2006/relationships/image" Target="../media/image158.png"/><Relationship Id="rId87" Type="http://schemas.openxmlformats.org/officeDocument/2006/relationships/image" Target="../media/image37.png"/><Relationship Id="rId89" Type="http://schemas.openxmlformats.org/officeDocument/2006/relationships/image" Target="../media/image74.png"/><Relationship Id="rId80" Type="http://schemas.openxmlformats.org/officeDocument/2006/relationships/image" Target="../media/image90.png"/><Relationship Id="rId82" Type="http://schemas.openxmlformats.org/officeDocument/2006/relationships/image" Target="../media/image31.png"/><Relationship Id="rId81" Type="http://schemas.openxmlformats.org/officeDocument/2006/relationships/image" Target="../media/image32.png"/><Relationship Id="rId1" Type="http://schemas.openxmlformats.org/officeDocument/2006/relationships/image" Target="../media/image42.png"/><Relationship Id="rId2" Type="http://schemas.openxmlformats.org/officeDocument/2006/relationships/image" Target="../media/image33.png"/><Relationship Id="rId3" Type="http://schemas.openxmlformats.org/officeDocument/2006/relationships/image" Target="../media/image45.png"/><Relationship Id="rId149" Type="http://schemas.openxmlformats.org/officeDocument/2006/relationships/image" Target="../media/image156.png"/><Relationship Id="rId4" Type="http://schemas.openxmlformats.org/officeDocument/2006/relationships/image" Target="../media/image49.png"/><Relationship Id="rId148" Type="http://schemas.openxmlformats.org/officeDocument/2006/relationships/image" Target="../media/image146.png"/><Relationship Id="rId9" Type="http://schemas.openxmlformats.org/officeDocument/2006/relationships/image" Target="../media/image13.png"/><Relationship Id="rId143" Type="http://schemas.openxmlformats.org/officeDocument/2006/relationships/image" Target="../media/image152.png"/><Relationship Id="rId142" Type="http://schemas.openxmlformats.org/officeDocument/2006/relationships/image" Target="../media/image145.png"/><Relationship Id="rId141" Type="http://schemas.openxmlformats.org/officeDocument/2006/relationships/image" Target="../media/image150.png"/><Relationship Id="rId140" Type="http://schemas.openxmlformats.org/officeDocument/2006/relationships/image" Target="../media/image89.png"/><Relationship Id="rId5" Type="http://schemas.openxmlformats.org/officeDocument/2006/relationships/image" Target="../media/image1.png"/><Relationship Id="rId147" Type="http://schemas.openxmlformats.org/officeDocument/2006/relationships/image" Target="../media/image155.png"/><Relationship Id="rId6" Type="http://schemas.openxmlformats.org/officeDocument/2006/relationships/image" Target="../media/image58.png"/><Relationship Id="rId146" Type="http://schemas.openxmlformats.org/officeDocument/2006/relationships/image" Target="../media/image147.png"/><Relationship Id="rId7" Type="http://schemas.openxmlformats.org/officeDocument/2006/relationships/image" Target="../media/image88.png"/><Relationship Id="rId145" Type="http://schemas.openxmlformats.org/officeDocument/2006/relationships/image" Target="../media/image96.png"/><Relationship Id="rId8" Type="http://schemas.openxmlformats.org/officeDocument/2006/relationships/image" Target="../media/image12.png"/><Relationship Id="rId144" Type="http://schemas.openxmlformats.org/officeDocument/2006/relationships/image" Target="../media/image98.png"/><Relationship Id="rId73" Type="http://schemas.openxmlformats.org/officeDocument/2006/relationships/image" Target="../media/image76.png"/><Relationship Id="rId72" Type="http://schemas.openxmlformats.org/officeDocument/2006/relationships/image" Target="../media/image64.png"/><Relationship Id="rId75" Type="http://schemas.openxmlformats.org/officeDocument/2006/relationships/image" Target="../media/image51.png"/><Relationship Id="rId74" Type="http://schemas.openxmlformats.org/officeDocument/2006/relationships/image" Target="../media/image109.png"/><Relationship Id="rId77" Type="http://schemas.openxmlformats.org/officeDocument/2006/relationships/image" Target="../media/image85.png"/><Relationship Id="rId76" Type="http://schemas.openxmlformats.org/officeDocument/2006/relationships/image" Target="../media/image27.png"/><Relationship Id="rId79" Type="http://schemas.openxmlformats.org/officeDocument/2006/relationships/image" Target="../media/image93.png"/><Relationship Id="rId78" Type="http://schemas.openxmlformats.org/officeDocument/2006/relationships/image" Target="../media/image47.png"/><Relationship Id="rId71" Type="http://schemas.openxmlformats.org/officeDocument/2006/relationships/image" Target="../media/image117.png"/><Relationship Id="rId70" Type="http://schemas.openxmlformats.org/officeDocument/2006/relationships/image" Target="../media/image25.png"/><Relationship Id="rId139" Type="http://schemas.openxmlformats.org/officeDocument/2006/relationships/image" Target="../media/image151.png"/><Relationship Id="rId138" Type="http://schemas.openxmlformats.org/officeDocument/2006/relationships/image" Target="../media/image140.png"/><Relationship Id="rId137" Type="http://schemas.openxmlformats.org/officeDocument/2006/relationships/image" Target="../media/image92.png"/><Relationship Id="rId132" Type="http://schemas.openxmlformats.org/officeDocument/2006/relationships/image" Target="../media/image153.png"/><Relationship Id="rId131" Type="http://schemas.openxmlformats.org/officeDocument/2006/relationships/image" Target="../media/image122.png"/><Relationship Id="rId130" Type="http://schemas.openxmlformats.org/officeDocument/2006/relationships/image" Target="../media/image142.png"/><Relationship Id="rId136" Type="http://schemas.openxmlformats.org/officeDocument/2006/relationships/image" Target="../media/image94.png"/><Relationship Id="rId135" Type="http://schemas.openxmlformats.org/officeDocument/2006/relationships/image" Target="../media/image148.png"/><Relationship Id="rId134" Type="http://schemas.openxmlformats.org/officeDocument/2006/relationships/image" Target="../media/image84.png"/><Relationship Id="rId133" Type="http://schemas.openxmlformats.org/officeDocument/2006/relationships/image" Target="../media/image149.png"/><Relationship Id="rId62" Type="http://schemas.openxmlformats.org/officeDocument/2006/relationships/image" Target="../media/image22.png"/><Relationship Id="rId61" Type="http://schemas.openxmlformats.org/officeDocument/2006/relationships/image" Target="../media/image53.png"/><Relationship Id="rId64" Type="http://schemas.openxmlformats.org/officeDocument/2006/relationships/image" Target="../media/image21.png"/><Relationship Id="rId63" Type="http://schemas.openxmlformats.org/officeDocument/2006/relationships/image" Target="../media/image50.png"/><Relationship Id="rId66" Type="http://schemas.openxmlformats.org/officeDocument/2006/relationships/image" Target="../media/image26.png"/><Relationship Id="rId65" Type="http://schemas.openxmlformats.org/officeDocument/2006/relationships/image" Target="../media/image30.png"/><Relationship Id="rId68" Type="http://schemas.openxmlformats.org/officeDocument/2006/relationships/image" Target="../media/image78.png"/><Relationship Id="rId67" Type="http://schemas.openxmlformats.org/officeDocument/2006/relationships/image" Target="../media/image100.png"/><Relationship Id="rId60" Type="http://schemas.openxmlformats.org/officeDocument/2006/relationships/image" Target="../media/image23.png"/><Relationship Id="rId69" Type="http://schemas.openxmlformats.org/officeDocument/2006/relationships/image" Target="../media/image24.png"/><Relationship Id="rId163" Type="http://schemas.openxmlformats.org/officeDocument/2006/relationships/image" Target="../media/image121.png"/><Relationship Id="rId162" Type="http://schemas.openxmlformats.org/officeDocument/2006/relationships/image" Target="../media/image159.png"/><Relationship Id="rId51" Type="http://schemas.openxmlformats.org/officeDocument/2006/relationships/image" Target="../media/image16.png"/><Relationship Id="rId50" Type="http://schemas.openxmlformats.org/officeDocument/2006/relationships/image" Target="../media/image62.png"/><Relationship Id="rId53" Type="http://schemas.openxmlformats.org/officeDocument/2006/relationships/image" Target="../media/image115.png"/><Relationship Id="rId52" Type="http://schemas.openxmlformats.org/officeDocument/2006/relationships/image" Target="../media/image28.png"/><Relationship Id="rId55" Type="http://schemas.openxmlformats.org/officeDocument/2006/relationships/image" Target="../media/image17.png"/><Relationship Id="rId161" Type="http://schemas.openxmlformats.org/officeDocument/2006/relationships/image" Target="../media/image160.png"/><Relationship Id="rId54" Type="http://schemas.openxmlformats.org/officeDocument/2006/relationships/image" Target="../media/image34.png"/><Relationship Id="rId160" Type="http://schemas.openxmlformats.org/officeDocument/2006/relationships/image" Target="../media/image114.png"/><Relationship Id="rId57" Type="http://schemas.openxmlformats.org/officeDocument/2006/relationships/image" Target="../media/image91.png"/><Relationship Id="rId56" Type="http://schemas.openxmlformats.org/officeDocument/2006/relationships/image" Target="../media/image36.png"/><Relationship Id="rId159" Type="http://schemas.openxmlformats.org/officeDocument/2006/relationships/image" Target="../media/image118.png"/><Relationship Id="rId59" Type="http://schemas.openxmlformats.org/officeDocument/2006/relationships/image" Target="../media/image40.png"/><Relationship Id="rId154" Type="http://schemas.openxmlformats.org/officeDocument/2006/relationships/image" Target="../media/image108.png"/><Relationship Id="rId58" Type="http://schemas.openxmlformats.org/officeDocument/2006/relationships/image" Target="../media/image55.png"/><Relationship Id="rId153" Type="http://schemas.openxmlformats.org/officeDocument/2006/relationships/image" Target="../media/image111.png"/><Relationship Id="rId152" Type="http://schemas.openxmlformats.org/officeDocument/2006/relationships/image" Target="../media/image157.png"/><Relationship Id="rId151" Type="http://schemas.openxmlformats.org/officeDocument/2006/relationships/image" Target="../media/image144.png"/><Relationship Id="rId158" Type="http://schemas.openxmlformats.org/officeDocument/2006/relationships/image" Target="../media/image161.png"/><Relationship Id="rId157" Type="http://schemas.openxmlformats.org/officeDocument/2006/relationships/image" Target="../media/image163.png"/><Relationship Id="rId156" Type="http://schemas.openxmlformats.org/officeDocument/2006/relationships/image" Target="../media/image162.png"/><Relationship Id="rId155" Type="http://schemas.openxmlformats.org/officeDocument/2006/relationships/image" Target="../media/image1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438150" cy="476250"/>
    <xdr:pic>
      <xdr:nvPicPr>
        <xdr:cNvPr id="0" name="image4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09575" cy="476250"/>
    <xdr:pic>
      <xdr:nvPicPr>
        <xdr:cNvPr id="0" name="image3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409575" cy="476250"/>
    <xdr:pic>
      <xdr:nvPicPr>
        <xdr:cNvPr id="0" name="image45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47675" cy="476250"/>
    <xdr:pic>
      <xdr:nvPicPr>
        <xdr:cNvPr id="0" name="image49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19100" cy="476250"/>
    <xdr:pic>
      <xdr:nvPicPr>
        <xdr:cNvPr id="0" name="image1.png" title="圖片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38150" cy="476250"/>
    <xdr:pic>
      <xdr:nvPicPr>
        <xdr:cNvPr id="0" name="image58.png" title="圖片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457200" cy="476250"/>
    <xdr:pic>
      <xdr:nvPicPr>
        <xdr:cNvPr id="0" name="image88.png" title="圖片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47675" cy="476250"/>
    <xdr:pic>
      <xdr:nvPicPr>
        <xdr:cNvPr id="0" name="image12.png" title="圖片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28625" cy="476250"/>
    <xdr:pic>
      <xdr:nvPicPr>
        <xdr:cNvPr id="0" name="image13.png" title="圖片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76250" cy="476250"/>
    <xdr:pic>
      <xdr:nvPicPr>
        <xdr:cNvPr id="0" name="image8.png" title="圖片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47675" cy="476250"/>
    <xdr:pic>
      <xdr:nvPicPr>
        <xdr:cNvPr id="0" name="image20.png" title="圖片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28625" cy="476250"/>
    <xdr:pic>
      <xdr:nvPicPr>
        <xdr:cNvPr id="0" name="image9.png" title="圖片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28625" cy="476250"/>
    <xdr:pic>
      <xdr:nvPicPr>
        <xdr:cNvPr id="0" name="image4.png" title="圖片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57200" cy="476250"/>
    <xdr:pic>
      <xdr:nvPicPr>
        <xdr:cNvPr id="0" name="image41.png" title="圖片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57200" cy="476250"/>
    <xdr:pic>
      <xdr:nvPicPr>
        <xdr:cNvPr id="0" name="image3.png" title="圖片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57200" cy="476250"/>
    <xdr:pic>
      <xdr:nvPicPr>
        <xdr:cNvPr id="0" name="image14.png" title="圖片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28625" cy="476250"/>
    <xdr:pic>
      <xdr:nvPicPr>
        <xdr:cNvPr id="0" name="image11.png" title="圖片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19100" cy="476250"/>
    <xdr:pic>
      <xdr:nvPicPr>
        <xdr:cNvPr id="0" name="image43.png" title="圖片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28625" cy="476250"/>
    <xdr:pic>
      <xdr:nvPicPr>
        <xdr:cNvPr id="0" name="image35.png" title="圖片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19100" cy="476250"/>
    <xdr:pic>
      <xdr:nvPicPr>
        <xdr:cNvPr id="0" name="image86.png" title="圖片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457200" cy="476250"/>
    <xdr:pic>
      <xdr:nvPicPr>
        <xdr:cNvPr id="0" name="image63.png" title="圖片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85775" cy="476250"/>
    <xdr:pic>
      <xdr:nvPicPr>
        <xdr:cNvPr id="0" name="image19.png" title="圖片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476250" cy="476250"/>
    <xdr:pic>
      <xdr:nvPicPr>
        <xdr:cNvPr id="0" name="image15.png" title="圖片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476250" cy="476250"/>
    <xdr:pic>
      <xdr:nvPicPr>
        <xdr:cNvPr id="0" name="image65.png" title="圖片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457200" cy="476250"/>
    <xdr:pic>
      <xdr:nvPicPr>
        <xdr:cNvPr id="0" name="image57.png" title="圖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76250" cy="476250"/>
    <xdr:pic>
      <xdr:nvPicPr>
        <xdr:cNvPr id="0" name="image83.png" title="圖片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457200" cy="476250"/>
    <xdr:pic>
      <xdr:nvPicPr>
        <xdr:cNvPr id="0" name="image60.png" title="圖片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52450" cy="476250"/>
    <xdr:pic>
      <xdr:nvPicPr>
        <xdr:cNvPr id="0" name="image143.png" title="圖片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485775" cy="476250"/>
    <xdr:pic>
      <xdr:nvPicPr>
        <xdr:cNvPr id="0" name="image70.png" title="圖片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447675" cy="476250"/>
    <xdr:pic>
      <xdr:nvPicPr>
        <xdr:cNvPr id="0" name="image48.png" title="圖片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476250" cy="476250"/>
    <xdr:pic>
      <xdr:nvPicPr>
        <xdr:cNvPr id="0" name="image124.png" title="圖片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476250" cy="476250"/>
    <xdr:pic>
      <xdr:nvPicPr>
        <xdr:cNvPr id="0" name="image10.png" title="圖片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485775" cy="476250"/>
    <xdr:pic>
      <xdr:nvPicPr>
        <xdr:cNvPr id="0" name="image107.png" title="圖片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457200" cy="476250"/>
    <xdr:pic>
      <xdr:nvPicPr>
        <xdr:cNvPr id="0" name="image6.png" title="圖片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476250" cy="476250"/>
    <xdr:pic>
      <xdr:nvPicPr>
        <xdr:cNvPr id="0" name="image71.png" title="圖片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438150" cy="476250"/>
    <xdr:pic>
      <xdr:nvPicPr>
        <xdr:cNvPr id="0" name="image52.png" title="圖片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457200" cy="476250"/>
    <xdr:pic>
      <xdr:nvPicPr>
        <xdr:cNvPr id="0" name="image66.png" title="圖片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19075" cy="476250"/>
    <xdr:pic>
      <xdr:nvPicPr>
        <xdr:cNvPr id="0" name="image7.png" title="圖片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485775" cy="476250"/>
    <xdr:pic>
      <xdr:nvPicPr>
        <xdr:cNvPr id="0" name="image69.png" title="圖片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457200" cy="476250"/>
    <xdr:pic>
      <xdr:nvPicPr>
        <xdr:cNvPr id="0" name="image95.png" title="圖片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438150" cy="476250"/>
    <xdr:pic>
      <xdr:nvPicPr>
        <xdr:cNvPr id="0" name="image2.png" title="圖片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457200" cy="476250"/>
    <xdr:pic>
      <xdr:nvPicPr>
        <xdr:cNvPr id="0" name="image79.png" title="圖片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476250" cy="476250"/>
    <xdr:pic>
      <xdr:nvPicPr>
        <xdr:cNvPr id="0" name="image75.png" title="圖片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485775" cy="476250"/>
    <xdr:pic>
      <xdr:nvPicPr>
        <xdr:cNvPr id="0" name="image46.png" title="圖片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476250" cy="476250"/>
    <xdr:pic>
      <xdr:nvPicPr>
        <xdr:cNvPr id="0" name="image97.png" title="圖片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476250" cy="476250"/>
    <xdr:pic>
      <xdr:nvPicPr>
        <xdr:cNvPr id="0" name="image29.png" title="圖片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438150" cy="476250"/>
    <xdr:pic>
      <xdr:nvPicPr>
        <xdr:cNvPr id="0" name="image72.png" title="圖片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457200" cy="476250"/>
    <xdr:pic>
      <xdr:nvPicPr>
        <xdr:cNvPr id="0" name="image18.png" title="圖片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504825" cy="476250"/>
    <xdr:pic>
      <xdr:nvPicPr>
        <xdr:cNvPr id="0" name="image5.png" title="圖片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57200" cy="476250"/>
    <xdr:pic>
      <xdr:nvPicPr>
        <xdr:cNvPr id="0" name="image62.png" title="圖片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476250" cy="476250"/>
    <xdr:pic>
      <xdr:nvPicPr>
        <xdr:cNvPr id="0" name="image16.png" title="圖片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457200" cy="476250"/>
    <xdr:pic>
      <xdr:nvPicPr>
        <xdr:cNvPr id="0" name="image28.png" title="圖片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476250" cy="476250"/>
    <xdr:pic>
      <xdr:nvPicPr>
        <xdr:cNvPr id="0" name="image115.png" title="圖片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476250" cy="476250"/>
    <xdr:pic>
      <xdr:nvPicPr>
        <xdr:cNvPr id="0" name="image34.png" title="圖片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457200" cy="476250"/>
    <xdr:pic>
      <xdr:nvPicPr>
        <xdr:cNvPr id="0" name="image17.png" title="圖片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457200" cy="476250"/>
    <xdr:pic>
      <xdr:nvPicPr>
        <xdr:cNvPr id="0" name="image36.png" title="圖片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476250" cy="476250"/>
    <xdr:pic>
      <xdr:nvPicPr>
        <xdr:cNvPr id="0" name="image91.png" title="圖片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428625" cy="476250"/>
    <xdr:pic>
      <xdr:nvPicPr>
        <xdr:cNvPr id="0" name="image55.png" title="圖片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428625" cy="476250"/>
    <xdr:pic>
      <xdr:nvPicPr>
        <xdr:cNvPr id="0" name="image40.png" title="圖片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504825" cy="476250"/>
    <xdr:pic>
      <xdr:nvPicPr>
        <xdr:cNvPr id="0" name="image23.png" title="圖片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457200" cy="476250"/>
    <xdr:pic>
      <xdr:nvPicPr>
        <xdr:cNvPr id="0" name="image53.png" title="圖片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457200" cy="476250"/>
    <xdr:pic>
      <xdr:nvPicPr>
        <xdr:cNvPr id="0" name="image22.png" title="圖片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361950" cy="476250"/>
    <xdr:pic>
      <xdr:nvPicPr>
        <xdr:cNvPr id="0" name="image50.png" title="圖片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438150" cy="476250"/>
    <xdr:pic>
      <xdr:nvPicPr>
        <xdr:cNvPr id="0" name="image21.png" title="圖片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409575" cy="476250"/>
    <xdr:pic>
      <xdr:nvPicPr>
        <xdr:cNvPr id="0" name="image30.png" title="圖片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438150" cy="476250"/>
    <xdr:pic>
      <xdr:nvPicPr>
        <xdr:cNvPr id="0" name="image26.png" title="圖片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476250" cy="476250"/>
    <xdr:pic>
      <xdr:nvPicPr>
        <xdr:cNvPr id="0" name="image100.png" title="圖片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485775" cy="476250"/>
    <xdr:pic>
      <xdr:nvPicPr>
        <xdr:cNvPr id="0" name="image78.png" title="圖片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457200" cy="476250"/>
    <xdr:pic>
      <xdr:nvPicPr>
        <xdr:cNvPr id="0" name="image24.png" title="圖片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476250" cy="476250"/>
    <xdr:pic>
      <xdr:nvPicPr>
        <xdr:cNvPr id="0" name="image25.png" title="圖片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476250" cy="476250"/>
    <xdr:pic>
      <xdr:nvPicPr>
        <xdr:cNvPr id="0" name="image117.png" title="圖片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542925" cy="476250"/>
    <xdr:pic>
      <xdr:nvPicPr>
        <xdr:cNvPr id="0" name="image64.png" title="圖片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457200" cy="476250"/>
    <xdr:pic>
      <xdr:nvPicPr>
        <xdr:cNvPr id="0" name="image76.png" title="圖片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457200" cy="476250"/>
    <xdr:pic>
      <xdr:nvPicPr>
        <xdr:cNvPr id="0" name="image109.png" title="圖片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438150" cy="476250"/>
    <xdr:pic>
      <xdr:nvPicPr>
        <xdr:cNvPr id="0" name="image51.png" title="圖片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457200" cy="476250"/>
    <xdr:pic>
      <xdr:nvPicPr>
        <xdr:cNvPr id="0" name="image27.png" title="圖片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457200" cy="476250"/>
    <xdr:pic>
      <xdr:nvPicPr>
        <xdr:cNvPr id="0" name="image85.png" title="圖片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476250" cy="476250"/>
    <xdr:pic>
      <xdr:nvPicPr>
        <xdr:cNvPr id="0" name="image47.png" title="圖片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476250" cy="476250"/>
    <xdr:pic>
      <xdr:nvPicPr>
        <xdr:cNvPr id="0" name="image93.png" title="圖片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485775" cy="476250"/>
    <xdr:pic>
      <xdr:nvPicPr>
        <xdr:cNvPr id="0" name="image90.png" title="圖片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476250" cy="476250"/>
    <xdr:pic>
      <xdr:nvPicPr>
        <xdr:cNvPr id="0" name="image32.png" title="圖片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438150" cy="476250"/>
    <xdr:pic>
      <xdr:nvPicPr>
        <xdr:cNvPr id="0" name="image31.png" title="圖片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485775" cy="476250"/>
    <xdr:pic>
      <xdr:nvPicPr>
        <xdr:cNvPr id="0" name="image81.png" title="圖片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438150" cy="476250"/>
    <xdr:pic>
      <xdr:nvPicPr>
        <xdr:cNvPr id="0" name="image139.png" title="圖片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457200" cy="476250"/>
    <xdr:pic>
      <xdr:nvPicPr>
        <xdr:cNvPr id="0" name="image68.png" title="圖片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485775" cy="476250"/>
    <xdr:pic>
      <xdr:nvPicPr>
        <xdr:cNvPr id="0" name="image39.png" title="圖片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390525" cy="476250"/>
    <xdr:pic>
      <xdr:nvPicPr>
        <xdr:cNvPr id="0" name="image37.png" title="圖片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457200" cy="476250"/>
    <xdr:pic>
      <xdr:nvPicPr>
        <xdr:cNvPr id="0" name="image103.png" title="圖片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457200" cy="476250"/>
    <xdr:pic>
      <xdr:nvPicPr>
        <xdr:cNvPr id="0" name="image74.png" title="圖片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438150" cy="476250"/>
    <xdr:pic>
      <xdr:nvPicPr>
        <xdr:cNvPr id="0" name="image154.png" title="圖片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476250" cy="476250"/>
    <xdr:pic>
      <xdr:nvPicPr>
        <xdr:cNvPr id="0" name="image77.png" title="圖片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476250" cy="476250"/>
    <xdr:pic>
      <xdr:nvPicPr>
        <xdr:cNvPr id="0" name="image38.png" title="圖片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381000" cy="476250"/>
    <xdr:pic>
      <xdr:nvPicPr>
        <xdr:cNvPr id="0" name="image131.png" title="圖片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419100" cy="476250"/>
    <xdr:pic>
      <xdr:nvPicPr>
        <xdr:cNvPr id="0" name="image105.png" title="圖片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304800" cy="476250"/>
    <xdr:pic>
      <xdr:nvPicPr>
        <xdr:cNvPr id="0" name="image44.png" title="圖片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476250" cy="476250"/>
    <xdr:pic>
      <xdr:nvPicPr>
        <xdr:cNvPr id="0" name="image128.png" title="圖片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504825" cy="476250"/>
    <xdr:pic>
      <xdr:nvPicPr>
        <xdr:cNvPr id="0" name="image127.png" title="圖片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476250" cy="476250"/>
    <xdr:pic>
      <xdr:nvPicPr>
        <xdr:cNvPr id="0" name="image54.png" title="圖片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438150" cy="476250"/>
    <xdr:pic>
      <xdr:nvPicPr>
        <xdr:cNvPr id="0" name="image99.png" title="圖片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457200" cy="476250"/>
    <xdr:pic>
      <xdr:nvPicPr>
        <xdr:cNvPr id="0" name="image123.png" title="圖片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66700" cy="476250"/>
    <xdr:pic>
      <xdr:nvPicPr>
        <xdr:cNvPr id="0" name="image56.png" title="圖片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438150" cy="476250"/>
    <xdr:pic>
      <xdr:nvPicPr>
        <xdr:cNvPr id="0" name="image135.png" title="圖片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561975" cy="476250"/>
    <xdr:pic>
      <xdr:nvPicPr>
        <xdr:cNvPr id="0" name="image134.png" title="圖片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457200" cy="476250"/>
    <xdr:pic>
      <xdr:nvPicPr>
        <xdr:cNvPr id="0" name="image106.png" title="圖片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438150" cy="476250"/>
    <xdr:pic>
      <xdr:nvPicPr>
        <xdr:cNvPr id="0" name="image59.png" title="圖片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457200" cy="476250"/>
    <xdr:pic>
      <xdr:nvPicPr>
        <xdr:cNvPr id="0" name="image61.png" title="圖片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476250" cy="476250"/>
    <xdr:pic>
      <xdr:nvPicPr>
        <xdr:cNvPr id="0" name="image110.png" title="圖片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485775" cy="476250"/>
    <xdr:pic>
      <xdr:nvPicPr>
        <xdr:cNvPr id="0" name="image132.png" title="圖片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485775" cy="476250"/>
    <xdr:pic>
      <xdr:nvPicPr>
        <xdr:cNvPr id="0" name="image136.png" title="圖片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438150" cy="476250"/>
    <xdr:pic>
      <xdr:nvPicPr>
        <xdr:cNvPr id="0" name="image138.png" title="圖片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485775" cy="476250"/>
    <xdr:pic>
      <xdr:nvPicPr>
        <xdr:cNvPr id="0" name="image129.png" title="圖片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457200" cy="476250"/>
    <xdr:pic>
      <xdr:nvPicPr>
        <xdr:cNvPr id="0" name="image101.png" title="圖片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590550" cy="476250"/>
    <xdr:pic>
      <xdr:nvPicPr>
        <xdr:cNvPr id="0" name="image67.png" title="圖片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457200" cy="476250"/>
    <xdr:pic>
      <xdr:nvPicPr>
        <xdr:cNvPr id="0" name="image119.png" title="圖片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476250" cy="476250"/>
    <xdr:pic>
      <xdr:nvPicPr>
        <xdr:cNvPr id="0" name="image104.png" title="圖片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476250" cy="476250"/>
    <xdr:pic>
      <xdr:nvPicPr>
        <xdr:cNvPr id="0" name="image125.png" title="圖片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438150" cy="476250"/>
    <xdr:pic>
      <xdr:nvPicPr>
        <xdr:cNvPr id="0" name="image112.png" title="圖片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438150" cy="476250"/>
    <xdr:pic>
      <xdr:nvPicPr>
        <xdr:cNvPr id="0" name="image130.png" title="圖片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495300" cy="476250"/>
    <xdr:pic>
      <xdr:nvPicPr>
        <xdr:cNvPr id="0" name="image73.png" title="圖片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485775" cy="476250"/>
    <xdr:pic>
      <xdr:nvPicPr>
        <xdr:cNvPr id="0" name="image102.png" title="圖片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514350" cy="476250"/>
    <xdr:pic>
      <xdr:nvPicPr>
        <xdr:cNvPr id="0" name="image126.png" title="圖片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438150" cy="476250"/>
    <xdr:pic>
      <xdr:nvPicPr>
        <xdr:cNvPr id="0" name="image120.png" title="圖片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514350" cy="476250"/>
    <xdr:pic>
      <xdr:nvPicPr>
        <xdr:cNvPr id="0" name="image141.png" title="圖片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485775" cy="476250"/>
    <xdr:pic>
      <xdr:nvPicPr>
        <xdr:cNvPr id="0" name="image116.png" title="圖片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476250" cy="476250"/>
    <xdr:pic>
      <xdr:nvPicPr>
        <xdr:cNvPr id="0" name="image82.png" title="圖片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476250" cy="476250"/>
    <xdr:pic>
      <xdr:nvPicPr>
        <xdr:cNvPr id="0" name="image80.png" title="圖片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504825" cy="476250"/>
    <xdr:pic>
      <xdr:nvPicPr>
        <xdr:cNvPr id="0" name="image137.png" title="圖片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523875" cy="476250"/>
    <xdr:pic>
      <xdr:nvPicPr>
        <xdr:cNvPr id="0" name="image87.png" title="圖片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504825" cy="476250"/>
    <xdr:pic>
      <xdr:nvPicPr>
        <xdr:cNvPr id="0" name="image133.png" title="圖片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533400" cy="476250"/>
    <xdr:pic>
      <xdr:nvPicPr>
        <xdr:cNvPr id="0" name="image142.png" title="圖片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514350" cy="476250"/>
    <xdr:pic>
      <xdr:nvPicPr>
        <xdr:cNvPr id="0" name="image122.png" title="圖片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476250" cy="476250"/>
    <xdr:pic>
      <xdr:nvPicPr>
        <xdr:cNvPr id="0" name="image153.png" title="圖片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514350" cy="476250"/>
    <xdr:pic>
      <xdr:nvPicPr>
        <xdr:cNvPr id="0" name="image149.png" title="圖片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457200" cy="476250"/>
    <xdr:pic>
      <xdr:nvPicPr>
        <xdr:cNvPr id="0" name="image84.png" title="圖片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457200" cy="476250"/>
    <xdr:pic>
      <xdr:nvPicPr>
        <xdr:cNvPr id="0" name="image148.png" title="圖片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476250" cy="476250"/>
    <xdr:pic>
      <xdr:nvPicPr>
        <xdr:cNvPr id="0" name="image94.png" title="圖片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495300" cy="476250"/>
    <xdr:pic>
      <xdr:nvPicPr>
        <xdr:cNvPr id="0" name="image92.png" title="圖片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457200" cy="476250"/>
    <xdr:pic>
      <xdr:nvPicPr>
        <xdr:cNvPr id="0" name="image140.png" title="圖片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476250" cy="476250"/>
    <xdr:pic>
      <xdr:nvPicPr>
        <xdr:cNvPr id="0" name="image151.png" title="圖片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485775" cy="476250"/>
    <xdr:pic>
      <xdr:nvPicPr>
        <xdr:cNvPr id="0" name="image89.png" title="圖片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428625" cy="476250"/>
    <xdr:pic>
      <xdr:nvPicPr>
        <xdr:cNvPr id="0" name="image150.png" title="圖片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514350" cy="476250"/>
    <xdr:pic>
      <xdr:nvPicPr>
        <xdr:cNvPr id="0" name="image145.png" title="圖片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257175" cy="476250"/>
    <xdr:pic>
      <xdr:nvPicPr>
        <xdr:cNvPr id="0" name="image152.png" title="圖片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495300" cy="476250"/>
    <xdr:pic>
      <xdr:nvPicPr>
        <xdr:cNvPr id="0" name="image98.png" title="圖片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457200" cy="476250"/>
    <xdr:pic>
      <xdr:nvPicPr>
        <xdr:cNvPr id="0" name="image96.png" title="圖片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438150" cy="476250"/>
    <xdr:pic>
      <xdr:nvPicPr>
        <xdr:cNvPr id="0" name="image147.png" title="圖片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333375" cy="476250"/>
    <xdr:pic>
      <xdr:nvPicPr>
        <xdr:cNvPr id="0" name="image155.png" title="圖片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495300" cy="476250"/>
    <xdr:pic>
      <xdr:nvPicPr>
        <xdr:cNvPr id="0" name="image146.png" title="圖片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476250" cy="476250"/>
    <xdr:pic>
      <xdr:nvPicPr>
        <xdr:cNvPr id="0" name="image156.png" title="圖片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495300" cy="476250"/>
    <xdr:pic>
      <xdr:nvPicPr>
        <xdr:cNvPr id="0" name="image158.png" title="圖片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504825" cy="476250"/>
    <xdr:pic>
      <xdr:nvPicPr>
        <xdr:cNvPr id="0" name="image144.png" title="圖片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476250" cy="476250"/>
    <xdr:pic>
      <xdr:nvPicPr>
        <xdr:cNvPr id="0" name="image157.png" title="圖片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447675" cy="476250"/>
    <xdr:pic>
      <xdr:nvPicPr>
        <xdr:cNvPr id="0" name="image111.png" title="圖片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457200" cy="476250"/>
    <xdr:pic>
      <xdr:nvPicPr>
        <xdr:cNvPr id="0" name="image108.png" title="圖片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523875" cy="476250"/>
    <xdr:pic>
      <xdr:nvPicPr>
        <xdr:cNvPr id="0" name="image113.png" title="圖片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156</xdr:row>
      <xdr:rowOff>0</xdr:rowOff>
    </xdr:from>
    <xdr:ext cx="514350" cy="476250"/>
    <xdr:pic>
      <xdr:nvPicPr>
        <xdr:cNvPr id="0" name="image162.png" title="圖片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447675" cy="476250"/>
    <xdr:pic>
      <xdr:nvPicPr>
        <xdr:cNvPr id="0" name="image163.png" title="圖片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485775" cy="476250"/>
    <xdr:pic>
      <xdr:nvPicPr>
        <xdr:cNvPr id="0" name="image161.png" title="圖片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523875" cy="476250"/>
    <xdr:pic>
      <xdr:nvPicPr>
        <xdr:cNvPr id="0" name="image118.png" title="圖片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504825" cy="476250"/>
    <xdr:pic>
      <xdr:nvPicPr>
        <xdr:cNvPr id="0" name="image114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504825" cy="476250"/>
    <xdr:pic>
      <xdr:nvPicPr>
        <xdr:cNvPr id="0" name="image160.png" title="圖片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485775" cy="476250"/>
    <xdr:pic>
      <xdr:nvPicPr>
        <xdr:cNvPr id="0" name="image159.png" title="圖片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485775" cy="476250"/>
    <xdr:pic>
      <xdr:nvPicPr>
        <xdr:cNvPr id="0" name="image121.png" title="圖片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23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機器設備-style" showColumnStripes="0" showFirstColumn="1" showLastColumn="1" showRowStripes="1"/>
</table>
</file>

<file path=xl/tables/table2.xml><?xml version="1.0" encoding="utf-8"?>
<table xmlns="http://schemas.openxmlformats.org/spreadsheetml/2006/main" headerRowCount="0" ref="A2:P27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中間配方-style" showColumnStripes="0" showFirstColumn="1" showLastColumn="1" showRowStripes="1"/>
</table>
</file>

<file path=xl/tables/table3.xml><?xml version="1.0" encoding="utf-8"?>
<table xmlns="http://schemas.openxmlformats.org/spreadsheetml/2006/main" headerRowCount="0" ref="A28:P53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中間配方-style 2" showColumnStripes="0" showFirstColumn="1" showLastColumn="1" showRowStripes="1"/>
</table>
</file>

<file path=xl/tables/table4.xml><?xml version="1.0" encoding="utf-8"?>
<table xmlns="http://schemas.openxmlformats.org/spreadsheetml/2006/main" headerRowCount="0" ref="A54:P121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中間配方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:Q17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食譜-style" showColumnStripes="0" showFirstColumn="1" showLastColumn="1" showRowStripes="1"/>
</table>
</file>

<file path=xl/tables/table6.xml><?xml version="1.0" encoding="utf-8"?>
<table xmlns="http://schemas.openxmlformats.org/spreadsheetml/2006/main" headerRowCount="0" ref="A18:Q33" displayName="Table_4" name="Table_4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食譜-style 2" showColumnStripes="0" showFirstColumn="1" showLastColumn="1" showRowStripes="1"/>
</table>
</file>

<file path=xl/tables/table7.xml><?xml version="1.0" encoding="utf-8"?>
<table xmlns="http://schemas.openxmlformats.org/spreadsheetml/2006/main" headerRowCount="0" ref="A34:Q36" displayName="Table_6" name="Table_6" id="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食譜-style 3" showColumnStripes="0" showFirstColumn="1" showLastColumn="1" showRowStripes="1"/>
</table>
</file>

<file path=xl/tables/table8.xml><?xml version="1.0" encoding="utf-8"?>
<table xmlns="http://schemas.openxmlformats.org/spreadsheetml/2006/main" headerRowCount="0" ref="A37:Q38" displayName="Table_8" name="Table_8" id="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食譜-style 4" showColumnStripes="0" showFirstColumn="1" showLastColumn="1" showRowStripes="1"/>
</table>
</file>

<file path=xl/tables/table9.xml><?xml version="1.0" encoding="utf-8"?>
<table xmlns="http://schemas.openxmlformats.org/spreadsheetml/2006/main" headerRowCount="0" ref="A39:Q39" displayName="Table_9" name="Table_9" id="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食譜-style 5" showColumnStripes="0" showFirstColumn="1" showLastColumn="1" showRowStripes="1"/>
</table>
</file>

<file path=xl/tables/table10.xml><?xml version="1.0" encoding="utf-8"?>
<table xmlns="http://schemas.openxmlformats.org/spreadsheetml/2006/main" headerRowCount="0" ref="A2:D118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圖片對照表-style" showColumnStripes="0" showFirstColumn="1" showLastColumn="1" showRowStripes="1"/>
</table>
</file>

<file path=xl/tables/table11.xml><?xml version="1.0" encoding="utf-8"?>
<table xmlns="http://schemas.openxmlformats.org/spreadsheetml/2006/main" headerRowCount="0" ref="A119:D234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圖片對照表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38"/>
    <col customWidth="1" min="2" max="2" width="9.38"/>
    <col customWidth="1" min="3" max="3" width="15.13"/>
    <col customWidth="1" min="4" max="4" width="13.63"/>
    <col customWidth="1" min="5" max="5" width="37.0"/>
    <col customWidth="1" min="6" max="6" width="16.13"/>
    <col customWidth="1" min="7" max="7" width="44.25"/>
    <col customWidth="1" min="8" max="8" width="144.5"/>
    <col customWidth="1" min="9" max="9" width="17.88"/>
    <col customWidth="1" min="10" max="10" width="18.38"/>
    <col customWidth="1" min="11" max="11" width="16.88"/>
    <col customWidth="1" min="12" max="12" width="13.88"/>
    <col customWidth="1" min="13" max="13" width="23.0"/>
    <col customWidth="1" min="14" max="14" width="27.25"/>
    <col customWidth="1" min="15" max="15" width="63.38"/>
  </cols>
  <sheetData>
    <row r="1">
      <c r="A1" s="2" t="s">
        <v>5</v>
      </c>
      <c r="B1" s="2" t="s">
        <v>8</v>
      </c>
      <c r="C1" s="2" t="s">
        <v>9</v>
      </c>
      <c r="D1" s="2" t="s">
        <v>11</v>
      </c>
      <c r="E1" s="2" t="s">
        <v>12</v>
      </c>
      <c r="F1" s="2" t="s">
        <v>14</v>
      </c>
      <c r="G1" s="2" t="s">
        <v>15</v>
      </c>
      <c r="H1" s="2" t="s">
        <v>17</v>
      </c>
      <c r="I1" s="8"/>
      <c r="J1" s="10"/>
      <c r="K1" s="10"/>
      <c r="L1" s="10"/>
      <c r="M1" s="10"/>
      <c r="N1" s="10"/>
      <c r="O1" s="14"/>
    </row>
    <row r="2">
      <c r="A2" s="17" t="s">
        <v>51</v>
      </c>
      <c r="B2" s="17" t="s">
        <v>55</v>
      </c>
      <c r="C2" s="17">
        <v>1.0</v>
      </c>
      <c r="D2" s="17">
        <v>0.0</v>
      </c>
      <c r="E2" s="19" t="s">
        <v>47</v>
      </c>
      <c r="F2" s="19" t="s">
        <v>47</v>
      </c>
      <c r="G2" s="19" t="s">
        <v>62</v>
      </c>
      <c r="H2" s="19" t="s">
        <v>63</v>
      </c>
      <c r="I2" s="20"/>
      <c r="J2" s="21"/>
      <c r="K2" s="21"/>
      <c r="L2" s="21"/>
      <c r="M2" s="21"/>
      <c r="N2" s="21"/>
      <c r="O2" s="22"/>
    </row>
    <row r="3">
      <c r="A3" s="17" t="s">
        <v>51</v>
      </c>
      <c r="B3" s="17" t="s">
        <v>71</v>
      </c>
      <c r="C3" s="17">
        <v>0.0</v>
      </c>
      <c r="D3" s="17">
        <v>1.0</v>
      </c>
      <c r="E3" s="19" t="s">
        <v>47</v>
      </c>
      <c r="F3" s="19" t="s">
        <v>47</v>
      </c>
      <c r="G3" s="19" t="s">
        <v>32</v>
      </c>
      <c r="H3" s="19" t="s">
        <v>75</v>
      </c>
      <c r="I3" s="20"/>
      <c r="J3" s="21"/>
      <c r="K3" s="25"/>
      <c r="L3" s="25"/>
      <c r="M3" s="25"/>
      <c r="N3" s="21"/>
      <c r="O3" s="22"/>
    </row>
    <row r="4">
      <c r="A4" s="17" t="s">
        <v>51</v>
      </c>
      <c r="B4" s="17" t="s">
        <v>45</v>
      </c>
      <c r="C4" s="17">
        <v>0.0</v>
      </c>
      <c r="D4" s="17">
        <v>1.0</v>
      </c>
      <c r="E4" s="19" t="s">
        <v>47</v>
      </c>
      <c r="F4" s="19" t="s">
        <v>47</v>
      </c>
      <c r="G4" s="19" t="s">
        <v>32</v>
      </c>
      <c r="H4" s="19" t="s">
        <v>86</v>
      </c>
      <c r="I4" s="28"/>
      <c r="J4" s="21"/>
      <c r="K4" s="21"/>
      <c r="L4" s="21"/>
      <c r="M4" s="21"/>
      <c r="N4" s="21"/>
      <c r="O4" s="22"/>
    </row>
    <row r="5">
      <c r="A5" s="17" t="s">
        <v>51</v>
      </c>
      <c r="B5" s="17" t="s">
        <v>93</v>
      </c>
      <c r="C5" s="17">
        <v>0.0</v>
      </c>
      <c r="D5" s="17">
        <v>1.0</v>
      </c>
      <c r="E5" s="19" t="s">
        <v>47</v>
      </c>
      <c r="F5" s="19" t="s">
        <v>47</v>
      </c>
      <c r="G5" s="19" t="s">
        <v>32</v>
      </c>
      <c r="H5" s="19" t="s">
        <v>97</v>
      </c>
      <c r="I5" s="28"/>
      <c r="J5" s="21"/>
      <c r="K5" s="21"/>
      <c r="L5" s="21"/>
      <c r="M5" s="21"/>
      <c r="N5" s="21"/>
      <c r="O5" s="22"/>
    </row>
    <row r="6">
      <c r="A6" s="17" t="s">
        <v>51</v>
      </c>
      <c r="B6" s="17" t="s">
        <v>100</v>
      </c>
      <c r="C6" s="17">
        <v>0.0</v>
      </c>
      <c r="D6" s="17">
        <v>0.0</v>
      </c>
      <c r="E6" s="19" t="s">
        <v>47</v>
      </c>
      <c r="F6" s="19" t="s">
        <v>47</v>
      </c>
      <c r="G6" s="19" t="s">
        <v>32</v>
      </c>
      <c r="H6" s="19" t="s">
        <v>104</v>
      </c>
      <c r="I6" s="28"/>
      <c r="J6" s="21"/>
      <c r="K6" s="21"/>
      <c r="L6" s="21"/>
      <c r="M6" s="21"/>
      <c r="N6" s="21"/>
      <c r="O6" s="22"/>
    </row>
    <row r="7">
      <c r="A7" s="17" t="s">
        <v>51</v>
      </c>
      <c r="B7" s="17" t="s">
        <v>106</v>
      </c>
      <c r="C7" s="17">
        <v>0.0</v>
      </c>
      <c r="D7" s="17">
        <v>1.0</v>
      </c>
      <c r="E7" s="19" t="s">
        <v>47</v>
      </c>
      <c r="F7" s="19" t="s">
        <v>47</v>
      </c>
      <c r="G7" s="19" t="s">
        <v>32</v>
      </c>
      <c r="H7" s="19" t="s">
        <v>110</v>
      </c>
      <c r="I7" s="28"/>
      <c r="J7" s="21"/>
      <c r="K7" s="21"/>
      <c r="L7" s="21"/>
      <c r="M7" s="21"/>
      <c r="N7" s="21"/>
      <c r="O7" s="22"/>
    </row>
    <row r="8">
      <c r="A8" s="17" t="s">
        <v>116</v>
      </c>
      <c r="B8" s="17" t="s">
        <v>28</v>
      </c>
      <c r="C8" s="17">
        <v>1.0</v>
      </c>
      <c r="D8" s="17">
        <v>1.0</v>
      </c>
      <c r="E8" s="19" t="s">
        <v>47</v>
      </c>
      <c r="F8" s="19" t="s">
        <v>47</v>
      </c>
      <c r="G8" s="19" t="s">
        <v>119</v>
      </c>
      <c r="H8" s="19" t="s">
        <v>121</v>
      </c>
      <c r="I8" s="28"/>
      <c r="J8" s="21"/>
      <c r="K8" s="21"/>
      <c r="L8" s="21"/>
      <c r="M8" s="21"/>
      <c r="N8" s="21"/>
      <c r="O8" s="22"/>
    </row>
    <row r="9">
      <c r="A9" s="17" t="s">
        <v>116</v>
      </c>
      <c r="B9" s="17" t="s">
        <v>122</v>
      </c>
      <c r="C9" s="17">
        <v>1.0</v>
      </c>
      <c r="D9" s="17">
        <v>1.0</v>
      </c>
      <c r="E9" s="19" t="s">
        <v>124</v>
      </c>
      <c r="F9" s="19" t="s">
        <v>126</v>
      </c>
      <c r="G9" s="19" t="s">
        <v>127</v>
      </c>
      <c r="H9" s="19" t="s">
        <v>129</v>
      </c>
      <c r="I9" s="28"/>
      <c r="J9" s="21"/>
      <c r="K9" s="21"/>
      <c r="L9" s="21"/>
      <c r="M9" s="21"/>
      <c r="N9" s="21"/>
      <c r="O9" s="22"/>
    </row>
    <row r="10">
      <c r="A10" s="17" t="s">
        <v>116</v>
      </c>
      <c r="B10" s="17" t="s">
        <v>80</v>
      </c>
      <c r="C10" s="17">
        <v>1.0</v>
      </c>
      <c r="D10" s="17">
        <v>1.0</v>
      </c>
      <c r="E10" s="19" t="s">
        <v>47</v>
      </c>
      <c r="F10" s="19" t="s">
        <v>47</v>
      </c>
      <c r="G10" s="19" t="s">
        <v>119</v>
      </c>
      <c r="H10" s="19" t="s">
        <v>138</v>
      </c>
      <c r="I10" s="28"/>
      <c r="J10" s="21"/>
      <c r="K10" s="21"/>
      <c r="L10" s="21"/>
      <c r="M10" s="21"/>
      <c r="N10" s="21"/>
      <c r="O10" s="22"/>
    </row>
    <row r="11">
      <c r="A11" s="17" t="s">
        <v>143</v>
      </c>
      <c r="B11" s="17" t="s">
        <v>145</v>
      </c>
      <c r="C11" s="17">
        <v>2.0</v>
      </c>
      <c r="D11" s="17">
        <v>1.0</v>
      </c>
      <c r="E11" s="19" t="s">
        <v>148</v>
      </c>
      <c r="F11" s="19" t="s">
        <v>149</v>
      </c>
      <c r="G11" s="19" t="s">
        <v>150</v>
      </c>
      <c r="H11" s="19" t="s">
        <v>153</v>
      </c>
      <c r="I11" s="28"/>
      <c r="J11" s="21"/>
      <c r="K11" s="21"/>
      <c r="L11" s="21"/>
      <c r="M11" s="21"/>
      <c r="N11" s="21"/>
      <c r="O11" s="22"/>
    </row>
    <row r="12">
      <c r="A12" s="17" t="s">
        <v>143</v>
      </c>
      <c r="B12" s="17" t="s">
        <v>159</v>
      </c>
      <c r="C12" s="17">
        <v>2.0</v>
      </c>
      <c r="D12" s="17">
        <v>1.0</v>
      </c>
      <c r="E12" s="19" t="s">
        <v>163</v>
      </c>
      <c r="F12" s="19" t="s">
        <v>164</v>
      </c>
      <c r="G12" s="19" t="s">
        <v>166</v>
      </c>
      <c r="H12" s="19"/>
      <c r="I12" s="20"/>
      <c r="J12" s="21"/>
      <c r="K12" s="21"/>
      <c r="L12" s="32"/>
      <c r="M12" s="32"/>
      <c r="N12" s="21"/>
      <c r="O12" s="22"/>
    </row>
    <row r="13">
      <c r="A13" s="17" t="s">
        <v>143</v>
      </c>
      <c r="B13" s="17" t="s">
        <v>172</v>
      </c>
      <c r="C13" s="17">
        <v>2.0</v>
      </c>
      <c r="D13" s="17">
        <v>1.0</v>
      </c>
      <c r="E13" s="19" t="s">
        <v>47</v>
      </c>
      <c r="F13" s="19" t="s">
        <v>47</v>
      </c>
      <c r="G13" s="19" t="s">
        <v>32</v>
      </c>
      <c r="H13" s="19" t="s">
        <v>178</v>
      </c>
      <c r="I13" s="20"/>
      <c r="J13" s="21"/>
      <c r="K13" s="21"/>
      <c r="L13" s="32"/>
      <c r="M13" s="32"/>
      <c r="N13" s="21"/>
      <c r="O13" s="22"/>
    </row>
    <row r="14">
      <c r="A14" s="17" t="s">
        <v>143</v>
      </c>
      <c r="B14" s="17" t="s">
        <v>152</v>
      </c>
      <c r="C14" s="17">
        <v>1.0</v>
      </c>
      <c r="D14" s="17">
        <v>1.0</v>
      </c>
      <c r="E14" s="19" t="s">
        <v>158</v>
      </c>
      <c r="F14" s="19" t="s">
        <v>184</v>
      </c>
      <c r="G14" s="19" t="s">
        <v>186</v>
      </c>
      <c r="H14" s="19" t="s">
        <v>188</v>
      </c>
      <c r="I14" s="20"/>
      <c r="J14" s="21"/>
      <c r="K14" s="21"/>
      <c r="L14" s="32"/>
      <c r="M14" s="32"/>
      <c r="N14" s="21"/>
      <c r="O14" s="22"/>
    </row>
    <row r="15">
      <c r="A15" s="17" t="s">
        <v>143</v>
      </c>
      <c r="B15" s="17" t="s">
        <v>91</v>
      </c>
      <c r="C15" s="17">
        <v>1.0</v>
      </c>
      <c r="D15" s="17">
        <v>1.0</v>
      </c>
      <c r="E15" s="19" t="s">
        <v>47</v>
      </c>
      <c r="F15" s="19" t="s">
        <v>47</v>
      </c>
      <c r="G15" s="19" t="s">
        <v>119</v>
      </c>
      <c r="H15" s="19" t="s">
        <v>194</v>
      </c>
      <c r="I15" s="20"/>
      <c r="J15" s="21"/>
      <c r="K15" s="21"/>
      <c r="L15" s="21"/>
      <c r="M15" s="21"/>
      <c r="N15" s="21"/>
      <c r="O15" s="22"/>
    </row>
    <row r="16">
      <c r="A16" s="17" t="s">
        <v>143</v>
      </c>
      <c r="B16" s="17" t="s">
        <v>198</v>
      </c>
      <c r="C16" s="17">
        <v>2.0</v>
      </c>
      <c r="D16" s="17">
        <v>1.0</v>
      </c>
      <c r="E16" s="19" t="s">
        <v>160</v>
      </c>
      <c r="F16" s="19" t="s">
        <v>201</v>
      </c>
      <c r="G16" s="19" t="s">
        <v>166</v>
      </c>
      <c r="H16" s="19" t="s">
        <v>203</v>
      </c>
      <c r="I16" s="20"/>
      <c r="J16" s="21"/>
      <c r="K16" s="21"/>
      <c r="L16" s="21"/>
      <c r="M16" s="21"/>
      <c r="N16" s="21"/>
      <c r="O16" s="22"/>
    </row>
    <row r="17">
      <c r="A17" s="17" t="s">
        <v>206</v>
      </c>
      <c r="B17" s="17" t="s">
        <v>207</v>
      </c>
      <c r="C17" s="17">
        <v>2.0</v>
      </c>
      <c r="D17" s="17">
        <v>1.0</v>
      </c>
      <c r="E17" s="19" t="s">
        <v>209</v>
      </c>
      <c r="F17" s="19" t="s">
        <v>211</v>
      </c>
      <c r="G17" s="19" t="s">
        <v>212</v>
      </c>
      <c r="H17" s="19" t="s">
        <v>213</v>
      </c>
      <c r="I17" s="20"/>
      <c r="J17" s="21"/>
      <c r="K17" s="21"/>
      <c r="L17" s="21"/>
      <c r="M17" s="21"/>
      <c r="N17" s="21"/>
      <c r="O17" s="22"/>
    </row>
    <row r="18">
      <c r="A18" s="17" t="s">
        <v>206</v>
      </c>
      <c r="B18" s="17" t="s">
        <v>53</v>
      </c>
      <c r="C18" s="17">
        <v>3.0</v>
      </c>
      <c r="D18" s="17">
        <v>1.0</v>
      </c>
      <c r="E18" s="19" t="s">
        <v>219</v>
      </c>
      <c r="F18" s="19" t="s">
        <v>220</v>
      </c>
      <c r="G18" s="19" t="s">
        <v>166</v>
      </c>
      <c r="H18" s="19" t="s">
        <v>223</v>
      </c>
      <c r="I18" s="20"/>
      <c r="J18" s="21"/>
      <c r="K18" s="21"/>
      <c r="L18" s="21"/>
      <c r="M18" s="21"/>
      <c r="N18" s="21"/>
      <c r="O18" s="22"/>
    </row>
    <row r="19">
      <c r="A19" s="17" t="s">
        <v>206</v>
      </c>
      <c r="B19" s="17" t="s">
        <v>227</v>
      </c>
      <c r="C19" s="17">
        <v>2.0</v>
      </c>
      <c r="D19" s="17">
        <v>1.0</v>
      </c>
      <c r="E19" s="19" t="s">
        <v>47</v>
      </c>
      <c r="F19" s="19" t="s">
        <v>47</v>
      </c>
      <c r="G19" s="19" t="s">
        <v>228</v>
      </c>
      <c r="H19" s="19" t="s">
        <v>230</v>
      </c>
      <c r="I19" s="20"/>
      <c r="J19" s="21"/>
      <c r="K19" s="21"/>
      <c r="L19" s="21"/>
      <c r="M19" s="21"/>
      <c r="N19" s="21"/>
      <c r="O19" s="22"/>
    </row>
    <row r="20">
      <c r="A20" s="17" t="s">
        <v>206</v>
      </c>
      <c r="B20" s="17" t="s">
        <v>142</v>
      </c>
      <c r="C20" s="17">
        <v>2.0</v>
      </c>
      <c r="D20" s="17">
        <v>1.0</v>
      </c>
      <c r="E20" s="19" t="s">
        <v>47</v>
      </c>
      <c r="F20" s="19" t="s">
        <v>47</v>
      </c>
      <c r="G20" s="19" t="s">
        <v>233</v>
      </c>
      <c r="H20" s="19" t="s">
        <v>234</v>
      </c>
      <c r="I20" s="20"/>
      <c r="J20" s="21"/>
      <c r="K20" s="21"/>
      <c r="L20" s="32"/>
      <c r="M20" s="32"/>
      <c r="N20" s="21"/>
      <c r="O20" s="22"/>
    </row>
    <row r="21">
      <c r="A21" s="17" t="s">
        <v>206</v>
      </c>
      <c r="B21" s="17" t="s">
        <v>237</v>
      </c>
      <c r="C21" s="17">
        <v>2.0</v>
      </c>
      <c r="D21" s="17">
        <v>1.0</v>
      </c>
      <c r="E21" s="19" t="s">
        <v>47</v>
      </c>
      <c r="F21" s="19" t="s">
        <v>47</v>
      </c>
      <c r="G21" s="19" t="s">
        <v>239</v>
      </c>
      <c r="H21" s="19" t="s">
        <v>240</v>
      </c>
      <c r="I21" s="20"/>
      <c r="J21" s="21"/>
      <c r="K21" s="21"/>
      <c r="L21" s="21"/>
      <c r="M21" s="21"/>
      <c r="N21" s="21"/>
      <c r="O21" s="22"/>
    </row>
    <row r="22">
      <c r="A22" s="35"/>
      <c r="B22" s="35"/>
      <c r="C22" s="35"/>
      <c r="D22" s="35"/>
      <c r="E22" s="36"/>
      <c r="F22" s="36"/>
      <c r="G22" s="36"/>
      <c r="H22" s="36"/>
      <c r="I22" s="37"/>
      <c r="J22" s="38"/>
      <c r="K22" s="38"/>
      <c r="L22" s="38"/>
      <c r="M22" s="38"/>
      <c r="N22" s="38"/>
      <c r="O22" s="39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>
      <c r="A23" s="41"/>
      <c r="B23" s="41"/>
      <c r="C23" s="41"/>
      <c r="D23" s="41"/>
      <c r="E23" s="42"/>
      <c r="F23" s="42"/>
      <c r="G23" s="42"/>
      <c r="H23" s="42"/>
      <c r="I23" s="43"/>
      <c r="J23" s="44"/>
      <c r="K23" s="44"/>
      <c r="L23" s="44"/>
      <c r="M23" s="44"/>
      <c r="N23" s="44"/>
      <c r="O23" s="46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>
      <c r="A24" s="35"/>
      <c r="B24" s="35"/>
      <c r="C24" s="35"/>
      <c r="D24" s="35"/>
      <c r="E24" s="36"/>
      <c r="F24" s="36"/>
      <c r="G24" s="36"/>
      <c r="H24" s="36"/>
      <c r="I24" s="47"/>
      <c r="J24" s="38"/>
      <c r="K24" s="38"/>
      <c r="L24" s="38"/>
      <c r="M24" s="38"/>
      <c r="N24" s="38"/>
      <c r="O24" s="39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>
      <c r="A25" s="41"/>
      <c r="B25" s="41"/>
      <c r="C25" s="41"/>
      <c r="D25" s="41"/>
      <c r="E25" s="42"/>
      <c r="F25" s="42"/>
      <c r="G25" s="42"/>
      <c r="H25" s="42"/>
      <c r="I25" s="48"/>
      <c r="J25" s="44"/>
      <c r="K25" s="44"/>
      <c r="L25" s="44"/>
      <c r="M25" s="44"/>
      <c r="N25" s="44"/>
      <c r="O25" s="46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>
      <c r="A26" s="35"/>
      <c r="B26" s="35"/>
      <c r="C26" s="35"/>
      <c r="D26" s="35"/>
      <c r="E26" s="36"/>
      <c r="F26" s="36"/>
      <c r="G26" s="36"/>
      <c r="H26" s="36"/>
      <c r="I26" s="47"/>
      <c r="J26" s="38"/>
      <c r="K26" s="38"/>
      <c r="L26" s="38"/>
      <c r="M26" s="38"/>
      <c r="N26" s="38"/>
      <c r="O26" s="39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>
      <c r="A27" s="41"/>
      <c r="B27" s="41"/>
      <c r="C27" s="41"/>
      <c r="D27" s="41"/>
      <c r="E27" s="42"/>
      <c r="F27" s="42"/>
      <c r="G27" s="42"/>
      <c r="H27" s="42"/>
      <c r="I27" s="48"/>
      <c r="J27" s="44"/>
      <c r="K27" s="44"/>
      <c r="L27" s="44"/>
      <c r="M27" s="44"/>
      <c r="N27" s="44"/>
      <c r="O27" s="46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>
      <c r="A28" s="35"/>
      <c r="B28" s="35"/>
      <c r="C28" s="35"/>
      <c r="D28" s="35"/>
      <c r="E28" s="36"/>
      <c r="F28" s="36"/>
      <c r="G28" s="36"/>
      <c r="H28" s="36"/>
      <c r="I28" s="47"/>
      <c r="J28" s="38"/>
      <c r="K28" s="38"/>
      <c r="L28" s="38"/>
      <c r="M28" s="38"/>
      <c r="N28" s="38"/>
      <c r="O28" s="39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>
      <c r="A29" s="41"/>
      <c r="B29" s="41"/>
      <c r="C29" s="41"/>
      <c r="D29" s="41"/>
      <c r="E29" s="42"/>
      <c r="F29" s="42"/>
      <c r="G29" s="42"/>
      <c r="H29" s="42"/>
      <c r="I29" s="48"/>
      <c r="J29" s="44"/>
      <c r="K29" s="44"/>
      <c r="L29" s="44"/>
      <c r="M29" s="44"/>
      <c r="N29" s="44"/>
      <c r="O29" s="46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>
      <c r="A30" s="35"/>
      <c r="B30" s="35"/>
      <c r="C30" s="35"/>
      <c r="D30" s="35"/>
      <c r="E30" s="36"/>
      <c r="F30" s="36"/>
      <c r="G30" s="36"/>
      <c r="H30" s="36"/>
      <c r="I30" s="47"/>
      <c r="J30" s="38"/>
      <c r="K30" s="38"/>
      <c r="L30" s="38"/>
      <c r="M30" s="38"/>
      <c r="N30" s="38"/>
      <c r="O30" s="39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>
      <c r="A31" s="41"/>
      <c r="B31" s="41"/>
      <c r="C31" s="41"/>
      <c r="D31" s="41"/>
      <c r="E31" s="42"/>
      <c r="F31" s="42"/>
      <c r="G31" s="42"/>
      <c r="H31" s="42"/>
      <c r="I31" s="48"/>
      <c r="J31" s="44"/>
      <c r="K31" s="44"/>
      <c r="L31" s="44"/>
      <c r="M31" s="44"/>
      <c r="N31" s="44"/>
      <c r="O31" s="46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>
      <c r="A32" s="35"/>
      <c r="B32" s="35"/>
      <c r="C32" s="35"/>
      <c r="D32" s="35"/>
      <c r="E32" s="36"/>
      <c r="F32" s="36"/>
      <c r="G32" s="36"/>
      <c r="H32" s="49"/>
      <c r="I32" s="37"/>
      <c r="J32" s="38"/>
      <c r="K32" s="38"/>
      <c r="L32" s="38"/>
      <c r="M32" s="38"/>
      <c r="N32" s="38"/>
      <c r="O32" s="39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>
      <c r="A33" s="41"/>
      <c r="B33" s="41"/>
      <c r="C33" s="41"/>
      <c r="D33" s="41"/>
      <c r="E33" s="42"/>
      <c r="F33" s="42"/>
      <c r="G33" s="42"/>
      <c r="H33" s="42"/>
      <c r="I33" s="43"/>
      <c r="J33" s="44"/>
      <c r="K33" s="44"/>
      <c r="L33" s="44"/>
      <c r="M33" s="44"/>
      <c r="N33" s="44"/>
      <c r="O33" s="46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>
      <c r="A34" s="35"/>
      <c r="B34" s="35"/>
      <c r="C34" s="35"/>
      <c r="D34" s="35"/>
      <c r="E34" s="36"/>
      <c r="F34" s="36"/>
      <c r="G34" s="36"/>
      <c r="H34" s="36"/>
      <c r="I34" s="37"/>
      <c r="J34" s="38"/>
      <c r="K34" s="38"/>
      <c r="L34" s="38"/>
      <c r="M34" s="38"/>
      <c r="N34" s="38"/>
      <c r="O34" s="39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>
      <c r="A35" s="41"/>
      <c r="B35" s="41"/>
      <c r="C35" s="41"/>
      <c r="D35" s="41"/>
      <c r="E35" s="42"/>
      <c r="F35" s="42"/>
      <c r="G35" s="42"/>
      <c r="H35" s="42"/>
      <c r="I35" s="48"/>
      <c r="J35" s="44"/>
      <c r="K35" s="44"/>
      <c r="L35" s="44"/>
      <c r="M35" s="44"/>
      <c r="N35" s="44"/>
      <c r="O35" s="46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>
      <c r="A36" s="35"/>
      <c r="B36" s="35"/>
      <c r="C36" s="51"/>
      <c r="D36" s="51"/>
      <c r="E36" s="36"/>
      <c r="F36" s="36"/>
      <c r="G36" s="52"/>
      <c r="H36" s="36"/>
      <c r="I36" s="53"/>
      <c r="J36" s="38"/>
      <c r="K36" s="54"/>
      <c r="L36" s="54"/>
      <c r="M36" s="54"/>
      <c r="N36" s="38"/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>
      <c r="A37" s="41"/>
      <c r="B37" s="41"/>
      <c r="C37" s="55"/>
      <c r="D37" s="55"/>
      <c r="E37" s="42"/>
      <c r="F37" s="42"/>
      <c r="G37" s="56"/>
      <c r="H37" s="42"/>
      <c r="I37" s="48"/>
      <c r="J37" s="44"/>
      <c r="K37" s="57"/>
      <c r="L37" s="57"/>
      <c r="M37" s="57"/>
      <c r="N37" s="44"/>
      <c r="O37" s="46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>
      <c r="A38" s="35"/>
      <c r="B38" s="35"/>
      <c r="C38" s="51"/>
      <c r="D38" s="51"/>
      <c r="E38" s="36"/>
      <c r="F38" s="36"/>
      <c r="G38" s="52"/>
      <c r="H38" s="36"/>
      <c r="I38" s="53"/>
      <c r="J38" s="38"/>
      <c r="K38" s="54"/>
      <c r="L38" s="54"/>
      <c r="M38" s="54"/>
      <c r="N38" s="38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>
      <c r="A39" s="41"/>
      <c r="B39" s="41"/>
      <c r="C39" s="55"/>
      <c r="D39" s="55"/>
      <c r="E39" s="42"/>
      <c r="F39" s="42"/>
      <c r="G39" s="56"/>
      <c r="H39" s="42"/>
      <c r="I39" s="58"/>
      <c r="J39" s="44"/>
      <c r="K39" s="57"/>
      <c r="L39" s="57"/>
      <c r="M39" s="57"/>
      <c r="N39" s="44"/>
      <c r="O39" s="46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>
      <c r="A40" s="35"/>
      <c r="B40" s="35"/>
      <c r="C40" s="51"/>
      <c r="D40" s="51"/>
      <c r="E40" s="36"/>
      <c r="F40" s="36"/>
      <c r="G40" s="52"/>
      <c r="H40" s="36"/>
      <c r="I40" s="53"/>
      <c r="J40" s="38"/>
      <c r="K40" s="54"/>
      <c r="L40" s="54"/>
      <c r="M40" s="54"/>
      <c r="N40" s="38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>
      <c r="A41" s="55"/>
      <c r="B41" s="55"/>
      <c r="C41" s="55"/>
      <c r="D41" s="55"/>
      <c r="E41" s="56"/>
      <c r="F41" s="56"/>
      <c r="G41" s="56"/>
      <c r="H41" s="56"/>
      <c r="I41" s="58"/>
      <c r="J41" s="57"/>
      <c r="K41" s="57"/>
      <c r="L41" s="57"/>
      <c r="M41" s="57"/>
      <c r="N41" s="57"/>
      <c r="O41" s="46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>
      <c r="A42" s="60"/>
      <c r="B42" s="34"/>
      <c r="C42" s="34"/>
      <c r="D42" s="34"/>
      <c r="E42" s="34"/>
      <c r="F42" s="34"/>
      <c r="G42" s="34"/>
      <c r="H42" s="34"/>
      <c r="I42" s="34"/>
      <c r="J42" s="60"/>
    </row>
    <row r="43">
      <c r="A43" s="60"/>
      <c r="B43" s="34"/>
      <c r="C43" s="34"/>
      <c r="D43" s="34"/>
      <c r="E43" s="34"/>
      <c r="F43" s="34"/>
      <c r="G43" s="34"/>
      <c r="H43" s="34"/>
      <c r="I43" s="34"/>
      <c r="J43" s="60"/>
    </row>
    <row r="44">
      <c r="A44" s="60"/>
      <c r="B44" s="34"/>
      <c r="C44" s="34"/>
      <c r="D44" s="34"/>
      <c r="E44" s="34"/>
      <c r="F44" s="34"/>
      <c r="G44" s="34"/>
      <c r="H44" s="34"/>
      <c r="I44" s="34"/>
      <c r="J44" s="60"/>
    </row>
    <row r="45">
      <c r="A45" s="60"/>
      <c r="B45" s="34"/>
      <c r="C45" s="34"/>
      <c r="D45" s="34"/>
      <c r="E45" s="34"/>
      <c r="F45" s="34"/>
      <c r="G45" s="34"/>
      <c r="H45" s="34"/>
      <c r="I45" s="34"/>
      <c r="J45" s="60"/>
    </row>
    <row r="46">
      <c r="A46" s="60"/>
      <c r="B46" s="34"/>
      <c r="C46" s="34"/>
      <c r="D46" s="34"/>
      <c r="E46" s="34"/>
      <c r="F46" s="34"/>
      <c r="G46" s="34"/>
      <c r="H46" s="34"/>
      <c r="I46" s="34"/>
      <c r="J46" s="60"/>
    </row>
    <row r="47">
      <c r="A47" s="60"/>
      <c r="B47" s="34"/>
      <c r="C47" s="34"/>
      <c r="D47" s="34"/>
      <c r="E47" s="34"/>
      <c r="F47" s="34"/>
      <c r="G47" s="34"/>
      <c r="H47" s="34"/>
      <c r="I47" s="34"/>
      <c r="J47" s="60"/>
    </row>
    <row r="48">
      <c r="A48" s="60"/>
      <c r="B48" s="34"/>
      <c r="C48" s="34"/>
      <c r="D48" s="34"/>
      <c r="E48" s="34"/>
      <c r="F48" s="34"/>
      <c r="G48" s="34"/>
      <c r="H48" s="34"/>
      <c r="I48" s="34"/>
      <c r="J48" s="60"/>
    </row>
    <row r="49">
      <c r="A49" s="60"/>
      <c r="B49" s="34"/>
      <c r="C49" s="34"/>
      <c r="D49" s="34"/>
      <c r="E49" s="34"/>
      <c r="F49" s="34"/>
      <c r="G49" s="34"/>
      <c r="H49" s="34"/>
      <c r="I49" s="34"/>
      <c r="J49" s="60"/>
    </row>
    <row r="50">
      <c r="A50" s="60"/>
      <c r="B50" s="34"/>
      <c r="C50" s="34"/>
      <c r="D50" s="34"/>
      <c r="E50" s="34"/>
      <c r="F50" s="34"/>
      <c r="G50" s="34"/>
      <c r="H50" s="34"/>
      <c r="I50" s="34"/>
      <c r="J50" s="60"/>
    </row>
    <row r="51">
      <c r="A51" s="60"/>
      <c r="B51" s="34"/>
      <c r="C51" s="34"/>
      <c r="D51" s="34"/>
      <c r="E51" s="34"/>
      <c r="F51" s="34"/>
      <c r="G51" s="34"/>
      <c r="H51" s="34"/>
      <c r="I51" s="34"/>
      <c r="J51" s="60"/>
    </row>
    <row r="52">
      <c r="A52" s="60"/>
      <c r="B52" s="34"/>
      <c r="C52" s="34"/>
      <c r="D52" s="34"/>
      <c r="E52" s="34"/>
      <c r="F52" s="34"/>
      <c r="G52" s="34"/>
      <c r="H52" s="34"/>
      <c r="I52" s="34"/>
      <c r="J52" s="60"/>
    </row>
    <row r="53">
      <c r="A53" s="60"/>
      <c r="B53" s="34"/>
      <c r="C53" s="34"/>
      <c r="D53" s="34"/>
      <c r="E53" s="34"/>
      <c r="F53" s="34"/>
      <c r="G53" s="34"/>
      <c r="H53" s="34"/>
      <c r="I53" s="34"/>
      <c r="J53" s="60"/>
    </row>
    <row r="54">
      <c r="A54" s="60"/>
      <c r="B54" s="34"/>
      <c r="C54" s="34"/>
      <c r="D54" s="34"/>
      <c r="E54" s="34"/>
      <c r="F54" s="34"/>
      <c r="G54" s="34"/>
      <c r="H54" s="34"/>
      <c r="I54" s="34"/>
      <c r="J54" s="60"/>
    </row>
    <row r="55">
      <c r="A55" s="60"/>
      <c r="B55" s="34"/>
      <c r="C55" s="34"/>
      <c r="D55" s="34"/>
      <c r="E55" s="34"/>
      <c r="F55" s="34"/>
      <c r="G55" s="34"/>
      <c r="H55" s="34"/>
      <c r="I55" s="34"/>
      <c r="J55" s="60"/>
    </row>
    <row r="56">
      <c r="A56" s="60"/>
      <c r="B56" s="34"/>
      <c r="C56" s="34"/>
      <c r="D56" s="34"/>
      <c r="E56" s="34"/>
      <c r="F56" s="34"/>
      <c r="G56" s="34"/>
      <c r="H56" s="34"/>
      <c r="I56" s="34"/>
      <c r="J56" s="60"/>
    </row>
    <row r="57">
      <c r="A57" s="60"/>
      <c r="B57" s="34"/>
      <c r="C57" s="34"/>
      <c r="D57" s="34"/>
      <c r="E57" s="34"/>
      <c r="F57" s="34"/>
      <c r="G57" s="34"/>
      <c r="H57" s="34"/>
      <c r="I57" s="34"/>
      <c r="J57" s="60"/>
    </row>
    <row r="58">
      <c r="A58" s="60"/>
      <c r="B58" s="34"/>
      <c r="C58" s="34"/>
      <c r="D58" s="34"/>
      <c r="E58" s="34"/>
      <c r="F58" s="34"/>
      <c r="G58" s="34"/>
      <c r="H58" s="34"/>
      <c r="I58" s="34"/>
      <c r="J58" s="60"/>
    </row>
    <row r="59">
      <c r="A59" s="60"/>
      <c r="B59" s="34"/>
      <c r="C59" s="34"/>
      <c r="D59" s="34"/>
      <c r="E59" s="34"/>
      <c r="F59" s="34"/>
      <c r="G59" s="34"/>
      <c r="H59" s="34"/>
      <c r="I59" s="34"/>
      <c r="J59" s="60"/>
    </row>
    <row r="60">
      <c r="A60" s="60"/>
      <c r="B60" s="34"/>
      <c r="C60" s="34"/>
      <c r="D60" s="34"/>
      <c r="E60" s="34"/>
      <c r="F60" s="34"/>
      <c r="G60" s="34"/>
      <c r="H60" s="34"/>
      <c r="I60" s="34"/>
      <c r="J60" s="60"/>
    </row>
    <row r="61">
      <c r="A61" s="60"/>
      <c r="B61" s="34"/>
      <c r="C61" s="34"/>
      <c r="D61" s="34"/>
      <c r="E61" s="34"/>
      <c r="F61" s="34"/>
      <c r="G61" s="34"/>
      <c r="H61" s="34"/>
      <c r="I61" s="34"/>
      <c r="J61" s="60"/>
    </row>
    <row r="62">
      <c r="A62" s="60"/>
      <c r="B62" s="34"/>
      <c r="C62" s="34"/>
      <c r="D62" s="34"/>
      <c r="E62" s="34"/>
      <c r="F62" s="34"/>
      <c r="G62" s="34"/>
      <c r="H62" s="34"/>
      <c r="I62" s="34"/>
      <c r="J62" s="60"/>
    </row>
    <row r="63">
      <c r="A63" s="60"/>
      <c r="B63" s="34"/>
      <c r="C63" s="34"/>
      <c r="D63" s="34"/>
      <c r="E63" s="34"/>
      <c r="F63" s="34"/>
      <c r="G63" s="34"/>
      <c r="H63" s="34"/>
      <c r="I63" s="34"/>
      <c r="J63" s="60"/>
    </row>
    <row r="64">
      <c r="A64" s="60"/>
      <c r="B64" s="34"/>
      <c r="C64" s="34"/>
      <c r="D64" s="34"/>
      <c r="E64" s="34"/>
      <c r="F64" s="34"/>
      <c r="G64" s="34"/>
      <c r="H64" s="34"/>
      <c r="I64" s="34"/>
      <c r="J64" s="60"/>
    </row>
    <row r="65">
      <c r="A65" s="60"/>
      <c r="B65" s="34"/>
      <c r="C65" s="34"/>
      <c r="D65" s="34"/>
      <c r="E65" s="34"/>
      <c r="F65" s="34"/>
      <c r="G65" s="34"/>
      <c r="H65" s="34"/>
      <c r="I65" s="34"/>
      <c r="J65" s="60"/>
    </row>
    <row r="66">
      <c r="A66" s="60"/>
      <c r="B66" s="34"/>
      <c r="C66" s="34"/>
      <c r="D66" s="34"/>
      <c r="E66" s="34"/>
      <c r="F66" s="34"/>
      <c r="G66" s="34"/>
      <c r="H66" s="34"/>
      <c r="I66" s="34"/>
      <c r="J66" s="60"/>
    </row>
    <row r="67">
      <c r="A67" s="60"/>
      <c r="B67" s="34"/>
      <c r="C67" s="34"/>
      <c r="D67" s="34"/>
      <c r="E67" s="34"/>
      <c r="F67" s="34"/>
      <c r="G67" s="34"/>
      <c r="H67" s="34"/>
      <c r="I67" s="34"/>
      <c r="J67" s="60"/>
    </row>
    <row r="68">
      <c r="A68" s="60"/>
      <c r="B68" s="34"/>
      <c r="C68" s="34"/>
      <c r="D68" s="34"/>
      <c r="E68" s="34"/>
      <c r="F68" s="34"/>
      <c r="G68" s="34"/>
      <c r="H68" s="34"/>
      <c r="I68" s="34"/>
      <c r="J68" s="60"/>
    </row>
    <row r="69">
      <c r="A69" s="60"/>
      <c r="B69" s="34"/>
      <c r="C69" s="34"/>
      <c r="D69" s="34"/>
      <c r="E69" s="34"/>
      <c r="F69" s="34"/>
      <c r="G69" s="34"/>
      <c r="H69" s="34"/>
      <c r="I69" s="34"/>
      <c r="J69" s="60"/>
    </row>
    <row r="70">
      <c r="A70" s="60"/>
      <c r="B70" s="60"/>
      <c r="C70" s="34"/>
      <c r="D70" s="34"/>
      <c r="E70" s="34"/>
      <c r="F70" s="34"/>
      <c r="G70" s="34"/>
      <c r="H70" s="34"/>
      <c r="I70" s="34"/>
      <c r="J70" s="60"/>
    </row>
    <row r="71">
      <c r="A71" s="60"/>
      <c r="B71" s="60"/>
      <c r="C71" s="34"/>
      <c r="D71" s="34"/>
      <c r="E71" s="34"/>
      <c r="F71" s="34"/>
      <c r="G71" s="34"/>
      <c r="H71" s="34"/>
      <c r="I71" s="34"/>
      <c r="J71" s="60"/>
    </row>
    <row r="72">
      <c r="A72" s="60"/>
      <c r="B72" s="60"/>
      <c r="C72" s="34"/>
      <c r="D72" s="34"/>
      <c r="E72" s="34"/>
      <c r="F72" s="34"/>
      <c r="G72" s="34"/>
      <c r="H72" s="34"/>
      <c r="I72" s="34"/>
      <c r="J72" s="60"/>
    </row>
    <row r="73">
      <c r="A73" s="60"/>
      <c r="B73" s="60"/>
      <c r="C73" s="34"/>
      <c r="D73" s="34"/>
      <c r="E73" s="34"/>
      <c r="F73" s="34"/>
      <c r="G73" s="34"/>
      <c r="H73" s="34"/>
      <c r="I73" s="34"/>
      <c r="J73" s="60"/>
    </row>
    <row r="74">
      <c r="A74" s="60"/>
      <c r="B74" s="60"/>
      <c r="C74" s="34"/>
      <c r="D74" s="34"/>
      <c r="E74" s="34"/>
      <c r="F74" s="34"/>
      <c r="G74" s="34"/>
      <c r="H74" s="34"/>
      <c r="I74" s="34"/>
      <c r="J74" s="60"/>
    </row>
    <row r="75">
      <c r="A75" s="60"/>
      <c r="B75" s="60"/>
      <c r="C75" s="34"/>
      <c r="D75" s="34"/>
      <c r="E75" s="34"/>
      <c r="F75" s="34"/>
      <c r="G75" s="34"/>
      <c r="H75" s="34"/>
      <c r="I75" s="34"/>
      <c r="J75" s="60"/>
    </row>
    <row r="76">
      <c r="A76" s="60"/>
      <c r="B76" s="60"/>
      <c r="C76" s="34"/>
      <c r="D76" s="34"/>
      <c r="E76" s="34"/>
      <c r="F76" s="34"/>
      <c r="G76" s="34"/>
      <c r="H76" s="34"/>
      <c r="I76" s="34"/>
      <c r="J76" s="60"/>
    </row>
    <row r="77">
      <c r="A77" s="60"/>
      <c r="B77" s="60"/>
      <c r="C77" s="34"/>
      <c r="D77" s="34"/>
      <c r="E77" s="34"/>
      <c r="F77" s="34"/>
      <c r="G77" s="34"/>
      <c r="H77" s="34"/>
      <c r="I77" s="34"/>
      <c r="J77" s="60"/>
    </row>
    <row r="78">
      <c r="A78" s="60"/>
      <c r="B78" s="60"/>
      <c r="C78" s="34"/>
      <c r="D78" s="34"/>
      <c r="E78" s="34"/>
      <c r="F78" s="34"/>
      <c r="G78" s="34"/>
      <c r="H78" s="34"/>
      <c r="I78" s="34"/>
      <c r="J78" s="60"/>
    </row>
    <row r="79">
      <c r="A79" s="60"/>
      <c r="B79" s="60"/>
      <c r="C79" s="34"/>
      <c r="D79" s="34"/>
      <c r="E79" s="34"/>
      <c r="F79" s="34"/>
      <c r="G79" s="34"/>
      <c r="H79" s="34"/>
      <c r="I79" s="34"/>
      <c r="J79" s="60"/>
    </row>
    <row r="80">
      <c r="A80" s="60"/>
      <c r="B80" s="60"/>
      <c r="C80" s="34"/>
      <c r="D80" s="34"/>
      <c r="E80" s="34"/>
      <c r="F80" s="34"/>
      <c r="G80" s="34"/>
      <c r="H80" s="34"/>
      <c r="I80" s="34"/>
      <c r="J80" s="60"/>
    </row>
    <row r="81">
      <c r="A81" s="60"/>
      <c r="B81" s="60"/>
      <c r="C81" s="34"/>
      <c r="D81" s="34"/>
      <c r="E81" s="34"/>
      <c r="F81" s="34"/>
      <c r="G81" s="34"/>
      <c r="H81" s="34"/>
      <c r="I81" s="34"/>
      <c r="J81" s="60"/>
    </row>
    <row r="82">
      <c r="A82" s="60"/>
      <c r="B82" s="60"/>
      <c r="C82" s="34"/>
      <c r="D82" s="34"/>
      <c r="E82" s="34"/>
      <c r="F82" s="34"/>
      <c r="G82" s="34"/>
      <c r="H82" s="34"/>
      <c r="I82" s="34"/>
      <c r="J82" s="60"/>
    </row>
    <row r="83">
      <c r="A83" s="60"/>
      <c r="B83" s="60"/>
      <c r="C83" s="34"/>
      <c r="D83" s="34"/>
      <c r="E83" s="34"/>
      <c r="F83" s="34"/>
      <c r="G83" s="34"/>
      <c r="H83" s="34"/>
      <c r="I83" s="34"/>
      <c r="J83" s="60"/>
    </row>
    <row r="84">
      <c r="A84" s="60"/>
      <c r="B84" s="60"/>
      <c r="C84" s="34"/>
      <c r="D84" s="34"/>
      <c r="E84" s="34"/>
      <c r="F84" s="34"/>
      <c r="G84" s="34"/>
      <c r="H84" s="34"/>
      <c r="I84" s="34"/>
      <c r="J84" s="60"/>
    </row>
    <row r="85">
      <c r="A85" s="60"/>
      <c r="B85" s="60"/>
      <c r="C85" s="34"/>
      <c r="D85" s="34"/>
      <c r="E85" s="34"/>
      <c r="F85" s="34"/>
      <c r="G85" s="34"/>
      <c r="H85" s="34"/>
      <c r="I85" s="34"/>
      <c r="J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</row>
    <row r="100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</row>
    <row r="1002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</row>
    <row r="100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</row>
  </sheetData>
  <conditionalFormatting sqref="A2:O25">
    <cfRule type="expression" dxfId="4" priority="1" stopIfTrue="1">
      <formula>ISEVEN(ROW())</formula>
    </cfRule>
  </conditionalFormatting>
  <conditionalFormatting sqref="A2:O25">
    <cfRule type="expression" dxfId="5" priority="2" stopIfTrue="1">
      <formula>ISODD(ROW())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9.38"/>
    <col customWidth="1" min="3" max="3" width="12.0"/>
    <col customWidth="1" min="4" max="4" width="16.13"/>
    <col customWidth="1" min="5" max="5" width="13.75"/>
    <col customWidth="1" min="6" max="6" width="12.75"/>
    <col customWidth="1" min="7" max="10" width="13.13"/>
    <col customWidth="1" min="11" max="12" width="13.25"/>
    <col customWidth="1" min="13" max="14" width="11.5"/>
    <col customWidth="1" min="15" max="15" width="17.75"/>
    <col customWidth="1" min="16" max="16" width="68.25"/>
  </cols>
  <sheetData>
    <row r="1">
      <c r="A1" s="4" t="s">
        <v>7</v>
      </c>
      <c r="B1" s="4" t="s">
        <v>16</v>
      </c>
      <c r="C1" s="4" t="s">
        <v>18</v>
      </c>
      <c r="D1" s="4" t="s">
        <v>20</v>
      </c>
      <c r="E1" s="4" t="s">
        <v>21</v>
      </c>
      <c r="F1" s="4" t="s">
        <v>22</v>
      </c>
      <c r="G1" s="4" t="s">
        <v>24</v>
      </c>
      <c r="H1" s="4" t="s">
        <v>25</v>
      </c>
      <c r="I1" s="4" t="s">
        <v>27</v>
      </c>
      <c r="J1" s="4" t="s">
        <v>31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</row>
    <row r="2">
      <c r="A2" s="13" t="s">
        <v>40</v>
      </c>
      <c r="B2" s="13" t="s">
        <v>45</v>
      </c>
      <c r="C2" s="13" t="s">
        <v>47</v>
      </c>
      <c r="D2" s="13">
        <v>0.0</v>
      </c>
      <c r="E2" s="13" t="s">
        <v>48</v>
      </c>
      <c r="F2" s="13">
        <v>1.0</v>
      </c>
      <c r="G2" s="13" t="s">
        <v>50</v>
      </c>
      <c r="H2" s="13">
        <v>1.0</v>
      </c>
      <c r="I2" s="13" t="s">
        <v>47</v>
      </c>
      <c r="J2" s="13">
        <v>0.0</v>
      </c>
      <c r="K2" s="13" t="s">
        <v>47</v>
      </c>
      <c r="L2" s="13">
        <v>0.0</v>
      </c>
      <c r="M2" s="13">
        <v>5.0</v>
      </c>
      <c r="N2" s="13">
        <v>8.0</v>
      </c>
      <c r="O2" s="23">
        <f t="shared" ref="O2:O53" si="1">N2/M2</f>
        <v>1.6</v>
      </c>
      <c r="P2" s="13" t="s">
        <v>57</v>
      </c>
    </row>
    <row r="3">
      <c r="A3" s="13" t="s">
        <v>60</v>
      </c>
      <c r="B3" s="13" t="s">
        <v>45</v>
      </c>
      <c r="C3" s="13" t="s">
        <v>47</v>
      </c>
      <c r="D3" s="13">
        <v>0.0</v>
      </c>
      <c r="E3" s="13" t="s">
        <v>77</v>
      </c>
      <c r="F3" s="13">
        <v>1.0</v>
      </c>
      <c r="G3" s="13" t="s">
        <v>50</v>
      </c>
      <c r="H3" s="13">
        <v>1.0</v>
      </c>
      <c r="I3" s="13" t="s">
        <v>47</v>
      </c>
      <c r="J3" s="13">
        <v>0.0</v>
      </c>
      <c r="K3" s="13" t="s">
        <v>47</v>
      </c>
      <c r="L3" s="13">
        <v>0.0</v>
      </c>
      <c r="M3" s="13">
        <v>5.0</v>
      </c>
      <c r="N3" s="13">
        <v>8.0</v>
      </c>
      <c r="O3" s="23">
        <f t="shared" si="1"/>
        <v>1.6</v>
      </c>
      <c r="P3" s="13" t="s">
        <v>61</v>
      </c>
    </row>
    <row r="4">
      <c r="A4" s="13" t="s">
        <v>64</v>
      </c>
      <c r="B4" s="13" t="s">
        <v>45</v>
      </c>
      <c r="C4" s="13" t="s">
        <v>47</v>
      </c>
      <c r="D4" s="13">
        <v>0.0</v>
      </c>
      <c r="E4" s="13" t="s">
        <v>48</v>
      </c>
      <c r="F4" s="13">
        <v>1.0</v>
      </c>
      <c r="G4" s="13" t="s">
        <v>77</v>
      </c>
      <c r="H4" s="13">
        <v>1.0</v>
      </c>
      <c r="I4" s="13" t="s">
        <v>47</v>
      </c>
      <c r="J4" s="13">
        <v>0.0</v>
      </c>
      <c r="K4" s="13" t="s">
        <v>47</v>
      </c>
      <c r="L4" s="13">
        <v>0.0</v>
      </c>
      <c r="M4" s="13">
        <v>5.0</v>
      </c>
      <c r="N4" s="13">
        <v>8.0</v>
      </c>
      <c r="O4" s="23">
        <f t="shared" si="1"/>
        <v>1.6</v>
      </c>
      <c r="P4" s="13" t="s">
        <v>65</v>
      </c>
    </row>
    <row r="5">
      <c r="A5" s="13" t="s">
        <v>66</v>
      </c>
      <c r="B5" s="13" t="s">
        <v>45</v>
      </c>
      <c r="C5" s="13" t="s">
        <v>47</v>
      </c>
      <c r="D5" s="13">
        <v>0.0</v>
      </c>
      <c r="E5" s="13" t="s">
        <v>48</v>
      </c>
      <c r="F5" s="13">
        <v>1.0</v>
      </c>
      <c r="G5" s="13" t="s">
        <v>26</v>
      </c>
      <c r="H5" s="13">
        <v>1.0</v>
      </c>
      <c r="I5" s="13" t="s">
        <v>47</v>
      </c>
      <c r="J5" s="13">
        <v>0.0</v>
      </c>
      <c r="K5" s="13" t="s">
        <v>47</v>
      </c>
      <c r="L5" s="13">
        <v>0.0</v>
      </c>
      <c r="M5" s="13">
        <v>5.0</v>
      </c>
      <c r="N5" s="13">
        <v>8.0</v>
      </c>
      <c r="O5" s="23">
        <f t="shared" si="1"/>
        <v>1.6</v>
      </c>
      <c r="P5" s="13" t="s">
        <v>67</v>
      </c>
    </row>
    <row r="6">
      <c r="A6" s="13" t="s">
        <v>68</v>
      </c>
      <c r="B6" s="13" t="s">
        <v>45</v>
      </c>
      <c r="C6" s="13" t="s">
        <v>47</v>
      </c>
      <c r="D6" s="13">
        <v>0.0</v>
      </c>
      <c r="E6" s="13" t="s">
        <v>48</v>
      </c>
      <c r="F6" s="13">
        <v>1.0</v>
      </c>
      <c r="G6" s="13" t="s">
        <v>26</v>
      </c>
      <c r="H6" s="13">
        <v>1.0</v>
      </c>
      <c r="I6" s="13" t="s">
        <v>47</v>
      </c>
      <c r="J6" s="13">
        <v>0.0</v>
      </c>
      <c r="K6" s="13" t="s">
        <v>47</v>
      </c>
      <c r="L6" s="13">
        <v>0.0</v>
      </c>
      <c r="M6" s="13">
        <v>5.0</v>
      </c>
      <c r="N6" s="13">
        <v>8.0</v>
      </c>
      <c r="O6" s="23">
        <f t="shared" si="1"/>
        <v>1.6</v>
      </c>
      <c r="P6" s="13" t="s">
        <v>113</v>
      </c>
    </row>
    <row r="7">
      <c r="A7" s="13" t="s">
        <v>70</v>
      </c>
      <c r="B7" s="13" t="s">
        <v>45</v>
      </c>
      <c r="C7" s="13" t="s">
        <v>47</v>
      </c>
      <c r="D7" s="13">
        <v>0.0</v>
      </c>
      <c r="E7" s="13" t="s">
        <v>48</v>
      </c>
      <c r="F7" s="13">
        <v>1.0</v>
      </c>
      <c r="G7" s="13" t="s">
        <v>26</v>
      </c>
      <c r="H7" s="13">
        <v>1.0</v>
      </c>
      <c r="I7" s="13" t="s">
        <v>47</v>
      </c>
      <c r="J7" s="13">
        <v>0.0</v>
      </c>
      <c r="K7" s="13" t="s">
        <v>47</v>
      </c>
      <c r="L7" s="13">
        <v>0.0</v>
      </c>
      <c r="M7" s="13">
        <v>5.0</v>
      </c>
      <c r="N7" s="13">
        <v>8.0</v>
      </c>
      <c r="O7" s="23">
        <f t="shared" si="1"/>
        <v>1.6</v>
      </c>
      <c r="P7" s="13" t="s">
        <v>123</v>
      </c>
    </row>
    <row r="8">
      <c r="A8" s="13" t="s">
        <v>87</v>
      </c>
      <c r="B8" s="13" t="s">
        <v>45</v>
      </c>
      <c r="C8" s="13" t="s">
        <v>47</v>
      </c>
      <c r="D8" s="13">
        <v>0.0</v>
      </c>
      <c r="E8" s="13" t="s">
        <v>48</v>
      </c>
      <c r="F8" s="13">
        <v>1.0</v>
      </c>
      <c r="G8" s="13" t="s">
        <v>77</v>
      </c>
      <c r="H8" s="13">
        <v>1.0</v>
      </c>
      <c r="I8" s="13" t="s">
        <v>47</v>
      </c>
      <c r="J8" s="13">
        <v>0.0</v>
      </c>
      <c r="K8" s="13" t="s">
        <v>47</v>
      </c>
      <c r="L8" s="13">
        <v>0.0</v>
      </c>
      <c r="M8" s="13">
        <v>5.0</v>
      </c>
      <c r="N8" s="13">
        <v>8.0</v>
      </c>
      <c r="O8" s="23">
        <f t="shared" si="1"/>
        <v>1.6</v>
      </c>
      <c r="P8" s="13" t="s">
        <v>88</v>
      </c>
    </row>
    <row r="9">
      <c r="A9" s="13" t="s">
        <v>82</v>
      </c>
      <c r="B9" s="13" t="s">
        <v>45</v>
      </c>
      <c r="C9" s="13" t="s">
        <v>47</v>
      </c>
      <c r="D9" s="13">
        <v>0.0</v>
      </c>
      <c r="E9" s="13" t="s">
        <v>48</v>
      </c>
      <c r="F9" s="13">
        <v>1.0</v>
      </c>
      <c r="G9" s="13" t="s">
        <v>77</v>
      </c>
      <c r="H9" s="13">
        <v>1.0</v>
      </c>
      <c r="I9" s="13" t="s">
        <v>47</v>
      </c>
      <c r="J9" s="13">
        <v>0.0</v>
      </c>
      <c r="K9" s="13" t="s">
        <v>47</v>
      </c>
      <c r="L9" s="13">
        <v>0.0</v>
      </c>
      <c r="M9" s="13">
        <v>5.0</v>
      </c>
      <c r="N9" s="13">
        <v>8.0</v>
      </c>
      <c r="O9" s="23">
        <f t="shared" si="1"/>
        <v>1.6</v>
      </c>
      <c r="P9" s="13" t="s">
        <v>154</v>
      </c>
    </row>
    <row r="10">
      <c r="A10" s="13" t="s">
        <v>156</v>
      </c>
      <c r="B10" s="13" t="s">
        <v>152</v>
      </c>
      <c r="C10" s="13" t="s">
        <v>158</v>
      </c>
      <c r="D10" s="13">
        <v>1.0</v>
      </c>
      <c r="E10" s="13" t="s">
        <v>162</v>
      </c>
      <c r="F10" s="13">
        <v>1.0</v>
      </c>
      <c r="G10" s="23"/>
      <c r="H10" s="23"/>
      <c r="I10" s="13" t="s">
        <v>47</v>
      </c>
      <c r="J10" s="31">
        <v>0.0</v>
      </c>
      <c r="K10" s="13" t="s">
        <v>47</v>
      </c>
      <c r="L10" s="31">
        <v>0.0</v>
      </c>
      <c r="M10" s="13">
        <v>5.0</v>
      </c>
      <c r="N10" s="13">
        <v>1.0</v>
      </c>
      <c r="O10" s="23">
        <f t="shared" si="1"/>
        <v>0.2</v>
      </c>
      <c r="P10" s="13" t="s">
        <v>174</v>
      </c>
    </row>
    <row r="11">
      <c r="A11" s="13" t="s">
        <v>176</v>
      </c>
      <c r="B11" s="13" t="s">
        <v>152</v>
      </c>
      <c r="C11" s="13" t="s">
        <v>158</v>
      </c>
      <c r="D11" s="13">
        <v>1.0</v>
      </c>
      <c r="E11" s="13" t="s">
        <v>162</v>
      </c>
      <c r="F11" s="13">
        <v>1.0</v>
      </c>
      <c r="G11" s="23"/>
      <c r="H11" s="23"/>
      <c r="I11" s="13" t="s">
        <v>47</v>
      </c>
      <c r="J11" s="31">
        <v>0.0</v>
      </c>
      <c r="K11" s="13" t="s">
        <v>47</v>
      </c>
      <c r="L11" s="31">
        <v>0.0</v>
      </c>
      <c r="M11" s="13">
        <v>5.0</v>
      </c>
      <c r="N11" s="13">
        <v>1.0</v>
      </c>
      <c r="O11" s="23">
        <f t="shared" si="1"/>
        <v>0.2</v>
      </c>
      <c r="P11" s="13" t="s">
        <v>174</v>
      </c>
    </row>
    <row r="12">
      <c r="A12" s="13" t="s">
        <v>187</v>
      </c>
      <c r="B12" s="13" t="s">
        <v>152</v>
      </c>
      <c r="C12" s="13" t="s">
        <v>158</v>
      </c>
      <c r="D12" s="13">
        <v>1.0</v>
      </c>
      <c r="E12" s="13" t="s">
        <v>162</v>
      </c>
      <c r="F12" s="13">
        <v>1.0</v>
      </c>
      <c r="G12" s="23"/>
      <c r="H12" s="23"/>
      <c r="I12" s="13" t="s">
        <v>47</v>
      </c>
      <c r="J12" s="31">
        <v>0.0</v>
      </c>
      <c r="K12" s="13" t="s">
        <v>47</v>
      </c>
      <c r="L12" s="31">
        <v>0.0</v>
      </c>
      <c r="M12" s="13">
        <v>5.0</v>
      </c>
      <c r="N12" s="13">
        <v>1.0</v>
      </c>
      <c r="O12" s="23">
        <f t="shared" si="1"/>
        <v>0.2</v>
      </c>
      <c r="P12" s="13" t="s">
        <v>174</v>
      </c>
    </row>
    <row r="13">
      <c r="A13" s="13" t="s">
        <v>195</v>
      </c>
      <c r="B13" s="13" t="s">
        <v>152</v>
      </c>
      <c r="C13" s="13" t="s">
        <v>158</v>
      </c>
      <c r="D13" s="13">
        <v>1.0</v>
      </c>
      <c r="E13" s="13" t="s">
        <v>162</v>
      </c>
      <c r="F13" s="13">
        <v>1.0</v>
      </c>
      <c r="G13" s="23"/>
      <c r="H13" s="23"/>
      <c r="I13" s="13" t="s">
        <v>47</v>
      </c>
      <c r="J13" s="31">
        <v>0.0</v>
      </c>
      <c r="K13" s="13" t="s">
        <v>47</v>
      </c>
      <c r="L13" s="31">
        <v>0.0</v>
      </c>
      <c r="M13" s="13">
        <v>5.0</v>
      </c>
      <c r="N13" s="13">
        <v>1.0</v>
      </c>
      <c r="O13" s="23">
        <f t="shared" si="1"/>
        <v>0.2</v>
      </c>
      <c r="P13" s="13" t="s">
        <v>174</v>
      </c>
    </row>
    <row r="14">
      <c r="A14" s="13" t="s">
        <v>204</v>
      </c>
      <c r="B14" s="13" t="s">
        <v>152</v>
      </c>
      <c r="C14" s="13" t="s">
        <v>158</v>
      </c>
      <c r="D14" s="13">
        <v>1.0</v>
      </c>
      <c r="E14" s="13" t="s">
        <v>162</v>
      </c>
      <c r="F14" s="13">
        <v>1.0</v>
      </c>
      <c r="G14" s="23"/>
      <c r="H14" s="23"/>
      <c r="I14" s="13" t="s">
        <v>47</v>
      </c>
      <c r="J14" s="31">
        <v>0.0</v>
      </c>
      <c r="K14" s="13" t="s">
        <v>47</v>
      </c>
      <c r="L14" s="31">
        <v>0.0</v>
      </c>
      <c r="M14" s="13">
        <v>5.0</v>
      </c>
      <c r="N14" s="13">
        <v>2.0</v>
      </c>
      <c r="O14" s="23">
        <f t="shared" si="1"/>
        <v>0.4</v>
      </c>
      <c r="P14" s="13" t="s">
        <v>215</v>
      </c>
    </row>
    <row r="15">
      <c r="A15" s="13" t="s">
        <v>151</v>
      </c>
      <c r="B15" s="13" t="s">
        <v>152</v>
      </c>
      <c r="C15" s="13" t="s">
        <v>158</v>
      </c>
      <c r="D15" s="13">
        <v>1.0</v>
      </c>
      <c r="E15" s="13" t="s">
        <v>218</v>
      </c>
      <c r="F15" s="13">
        <v>0.0</v>
      </c>
      <c r="G15" s="23"/>
      <c r="H15" s="23"/>
      <c r="I15" s="13" t="s">
        <v>47</v>
      </c>
      <c r="J15" s="31">
        <v>0.0</v>
      </c>
      <c r="K15" s="13" t="s">
        <v>47</v>
      </c>
      <c r="L15" s="31">
        <v>0.0</v>
      </c>
      <c r="M15" s="13">
        <v>5.0</v>
      </c>
      <c r="N15" s="13">
        <v>1.0</v>
      </c>
      <c r="O15" s="23">
        <f t="shared" si="1"/>
        <v>0.2</v>
      </c>
      <c r="P15" s="13" t="s">
        <v>226</v>
      </c>
    </row>
    <row r="16">
      <c r="A16" s="13" t="s">
        <v>48</v>
      </c>
      <c r="B16" s="13" t="s">
        <v>91</v>
      </c>
      <c r="C16" s="13" t="s">
        <v>47</v>
      </c>
      <c r="D16" s="13">
        <v>0.0</v>
      </c>
      <c r="E16" s="13" t="s">
        <v>222</v>
      </c>
      <c r="F16" s="13">
        <v>1.0</v>
      </c>
      <c r="G16" s="23"/>
      <c r="H16" s="23"/>
      <c r="I16" s="13" t="s">
        <v>47</v>
      </c>
      <c r="J16" s="31">
        <v>0.0</v>
      </c>
      <c r="K16" s="13" t="s">
        <v>47</v>
      </c>
      <c r="L16" s="31">
        <v>0.0</v>
      </c>
      <c r="M16" s="13">
        <v>5.0</v>
      </c>
      <c r="N16" s="13">
        <v>1.0</v>
      </c>
      <c r="O16" s="23">
        <f t="shared" si="1"/>
        <v>0.2</v>
      </c>
      <c r="P16" s="13" t="s">
        <v>232</v>
      </c>
    </row>
    <row r="17">
      <c r="A17" s="13" t="s">
        <v>50</v>
      </c>
      <c r="B17" s="13" t="s">
        <v>91</v>
      </c>
      <c r="C17" s="13" t="s">
        <v>47</v>
      </c>
      <c r="D17" s="13">
        <v>0.0</v>
      </c>
      <c r="E17" s="13" t="s">
        <v>99</v>
      </c>
      <c r="F17" s="13">
        <v>1.0</v>
      </c>
      <c r="G17" s="23"/>
      <c r="H17" s="23"/>
      <c r="I17" s="13" t="s">
        <v>47</v>
      </c>
      <c r="J17" s="31">
        <v>0.0</v>
      </c>
      <c r="K17" s="13" t="s">
        <v>47</v>
      </c>
      <c r="L17" s="31">
        <v>0.0</v>
      </c>
      <c r="M17" s="13">
        <v>5.0</v>
      </c>
      <c r="N17" s="13">
        <v>1.0</v>
      </c>
      <c r="O17" s="23">
        <f t="shared" si="1"/>
        <v>0.2</v>
      </c>
      <c r="P17" s="13" t="s">
        <v>241</v>
      </c>
    </row>
    <row r="18">
      <c r="A18" s="13" t="s">
        <v>243</v>
      </c>
      <c r="B18" s="13" t="s">
        <v>91</v>
      </c>
      <c r="C18" s="13" t="s">
        <v>47</v>
      </c>
      <c r="D18" s="13">
        <v>0.0</v>
      </c>
      <c r="E18" s="13" t="s">
        <v>244</v>
      </c>
      <c r="F18" s="13">
        <v>1.0</v>
      </c>
      <c r="G18" s="23"/>
      <c r="H18" s="23"/>
      <c r="I18" s="13" t="s">
        <v>47</v>
      </c>
      <c r="J18" s="31">
        <v>0.0</v>
      </c>
      <c r="K18" s="13" t="s">
        <v>47</v>
      </c>
      <c r="L18" s="31">
        <v>0.0</v>
      </c>
      <c r="M18" s="13">
        <v>5.0</v>
      </c>
      <c r="N18" s="13">
        <v>1.0</v>
      </c>
      <c r="O18" s="23">
        <f t="shared" si="1"/>
        <v>0.2</v>
      </c>
      <c r="P18" s="13" t="s">
        <v>248</v>
      </c>
    </row>
    <row r="19">
      <c r="A19" s="13" t="s">
        <v>84</v>
      </c>
      <c r="B19" s="13" t="s">
        <v>198</v>
      </c>
      <c r="C19" s="13" t="s">
        <v>160</v>
      </c>
      <c r="D19" s="13">
        <v>1.0</v>
      </c>
      <c r="E19" s="13" t="s">
        <v>249</v>
      </c>
      <c r="F19" s="13">
        <v>1.0</v>
      </c>
      <c r="G19" s="23"/>
      <c r="H19" s="23"/>
      <c r="I19" s="13" t="s">
        <v>47</v>
      </c>
      <c r="J19" s="31">
        <v>0.0</v>
      </c>
      <c r="K19" s="13" t="s">
        <v>47</v>
      </c>
      <c r="L19" s="31">
        <v>0.0</v>
      </c>
      <c r="M19" s="13">
        <v>5.0</v>
      </c>
      <c r="N19" s="13">
        <v>1.0</v>
      </c>
      <c r="O19" s="23">
        <f t="shared" si="1"/>
        <v>0.2</v>
      </c>
      <c r="P19" s="13" t="s">
        <v>203</v>
      </c>
    </row>
    <row r="20">
      <c r="A20" s="13" t="s">
        <v>95</v>
      </c>
      <c r="B20" s="13" t="s">
        <v>198</v>
      </c>
      <c r="C20" s="13" t="s">
        <v>160</v>
      </c>
      <c r="D20" s="13">
        <v>1.0</v>
      </c>
      <c r="E20" s="13" t="s">
        <v>256</v>
      </c>
      <c r="F20" s="13">
        <v>1.0</v>
      </c>
      <c r="G20" s="23"/>
      <c r="H20" s="23"/>
      <c r="I20" s="13" t="s">
        <v>47</v>
      </c>
      <c r="J20" s="31">
        <v>0.0</v>
      </c>
      <c r="K20" s="13" t="s">
        <v>47</v>
      </c>
      <c r="L20" s="31">
        <v>0.0</v>
      </c>
      <c r="M20" s="13">
        <v>5.0</v>
      </c>
      <c r="N20" s="13">
        <v>1.0</v>
      </c>
      <c r="O20" s="23">
        <f t="shared" si="1"/>
        <v>0.2</v>
      </c>
      <c r="P20" s="13" t="s">
        <v>203</v>
      </c>
    </row>
    <row r="21">
      <c r="A21" s="13" t="s">
        <v>105</v>
      </c>
      <c r="B21" s="13" t="s">
        <v>198</v>
      </c>
      <c r="C21" s="13" t="s">
        <v>160</v>
      </c>
      <c r="D21" s="13">
        <v>1.0</v>
      </c>
      <c r="E21" s="13" t="s">
        <v>263</v>
      </c>
      <c r="F21" s="13">
        <v>1.0</v>
      </c>
      <c r="G21" s="23"/>
      <c r="H21" s="23"/>
      <c r="I21" s="13" t="s">
        <v>47</v>
      </c>
      <c r="J21" s="31">
        <v>0.0</v>
      </c>
      <c r="K21" s="13" t="s">
        <v>47</v>
      </c>
      <c r="L21" s="31">
        <v>0.0</v>
      </c>
      <c r="M21" s="13">
        <v>5.0</v>
      </c>
      <c r="N21" s="13">
        <v>1.0</v>
      </c>
      <c r="O21" s="23">
        <f t="shared" si="1"/>
        <v>0.2</v>
      </c>
      <c r="P21" s="13" t="s">
        <v>203</v>
      </c>
    </row>
    <row r="22">
      <c r="A22" s="13" t="s">
        <v>54</v>
      </c>
      <c r="B22" s="13" t="s">
        <v>237</v>
      </c>
      <c r="C22" s="13" t="s">
        <v>47</v>
      </c>
      <c r="D22" s="13">
        <v>0.0</v>
      </c>
      <c r="E22" s="13" t="s">
        <v>135</v>
      </c>
      <c r="F22" s="13">
        <v>1.0</v>
      </c>
      <c r="G22" s="13" t="s">
        <v>59</v>
      </c>
      <c r="H22" s="13">
        <v>1.0</v>
      </c>
      <c r="I22" s="13" t="s">
        <v>47</v>
      </c>
      <c r="J22" s="13">
        <v>0.0</v>
      </c>
      <c r="K22" s="13" t="s">
        <v>47</v>
      </c>
      <c r="L22" s="13">
        <v>0.0</v>
      </c>
      <c r="M22" s="13">
        <v>5.0</v>
      </c>
      <c r="N22" s="13">
        <v>5.0</v>
      </c>
      <c r="O22" s="23">
        <f t="shared" si="1"/>
        <v>1</v>
      </c>
      <c r="P22" s="13" t="s">
        <v>270</v>
      </c>
    </row>
    <row r="23">
      <c r="A23" s="13" t="s">
        <v>272</v>
      </c>
      <c r="B23" s="13" t="s">
        <v>142</v>
      </c>
      <c r="C23" s="13" t="s">
        <v>47</v>
      </c>
      <c r="D23" s="13">
        <v>0.0</v>
      </c>
      <c r="E23" s="13" t="s">
        <v>176</v>
      </c>
      <c r="F23" s="13">
        <v>1.0</v>
      </c>
      <c r="G23" s="23"/>
      <c r="H23" s="23"/>
      <c r="I23" s="13" t="s">
        <v>47</v>
      </c>
      <c r="J23" s="31">
        <v>0.0</v>
      </c>
      <c r="K23" s="13" t="s">
        <v>47</v>
      </c>
      <c r="L23" s="31">
        <v>0.0</v>
      </c>
      <c r="M23" s="13">
        <v>2.0</v>
      </c>
      <c r="N23" s="13">
        <v>2.0</v>
      </c>
      <c r="O23" s="23">
        <f t="shared" si="1"/>
        <v>1</v>
      </c>
      <c r="P23" s="13" t="s">
        <v>275</v>
      </c>
    </row>
    <row r="24">
      <c r="A24" s="13" t="s">
        <v>262</v>
      </c>
      <c r="B24" s="13" t="s">
        <v>207</v>
      </c>
      <c r="C24" s="13" t="s">
        <v>47</v>
      </c>
      <c r="D24" s="13">
        <v>0.0</v>
      </c>
      <c r="E24" s="13" t="s">
        <v>272</v>
      </c>
      <c r="F24" s="13">
        <v>1.0</v>
      </c>
      <c r="G24" s="13" t="s">
        <v>187</v>
      </c>
      <c r="H24" s="13">
        <v>1.0</v>
      </c>
      <c r="I24" s="13" t="s">
        <v>47</v>
      </c>
      <c r="J24" s="13">
        <v>0.0</v>
      </c>
      <c r="K24" s="13" t="s">
        <v>47</v>
      </c>
      <c r="L24" s="13">
        <v>0.0</v>
      </c>
      <c r="M24" s="13">
        <v>4.0</v>
      </c>
      <c r="N24" s="13">
        <v>1.0</v>
      </c>
      <c r="O24" s="23">
        <f t="shared" si="1"/>
        <v>0.25</v>
      </c>
      <c r="P24" s="13" t="s">
        <v>280</v>
      </c>
    </row>
    <row r="25">
      <c r="A25" s="13" t="s">
        <v>249</v>
      </c>
      <c r="B25" s="13" t="s">
        <v>227</v>
      </c>
      <c r="C25" s="13" t="s">
        <v>47</v>
      </c>
      <c r="D25" s="13">
        <v>0.0</v>
      </c>
      <c r="E25" s="13" t="s">
        <v>262</v>
      </c>
      <c r="F25" s="13">
        <v>1.0</v>
      </c>
      <c r="G25" s="23"/>
      <c r="H25" s="23"/>
      <c r="I25" s="13" t="s">
        <v>47</v>
      </c>
      <c r="J25" s="31">
        <v>0.0</v>
      </c>
      <c r="K25" s="13" t="s">
        <v>47</v>
      </c>
      <c r="L25" s="31">
        <v>0.0</v>
      </c>
      <c r="M25" s="13">
        <v>4.0</v>
      </c>
      <c r="N25" s="13">
        <v>1.0</v>
      </c>
      <c r="O25" s="23">
        <f t="shared" si="1"/>
        <v>0.25</v>
      </c>
      <c r="P25" s="13" t="s">
        <v>283</v>
      </c>
    </row>
    <row r="26">
      <c r="A26" s="13" t="s">
        <v>256</v>
      </c>
      <c r="B26" s="13" t="s">
        <v>227</v>
      </c>
      <c r="C26" s="13" t="s">
        <v>47</v>
      </c>
      <c r="D26" s="13">
        <v>0.0</v>
      </c>
      <c r="E26" s="13" t="s">
        <v>262</v>
      </c>
      <c r="F26" s="13">
        <v>1.0</v>
      </c>
      <c r="G26" s="23"/>
      <c r="H26" s="23"/>
      <c r="I26" s="13" t="s">
        <v>47</v>
      </c>
      <c r="J26" s="31">
        <v>0.0</v>
      </c>
      <c r="K26" s="13" t="s">
        <v>47</v>
      </c>
      <c r="L26" s="31">
        <v>0.0</v>
      </c>
      <c r="M26" s="13">
        <v>4.0</v>
      </c>
      <c r="N26" s="13">
        <v>1.0</v>
      </c>
      <c r="O26" s="23">
        <f t="shared" si="1"/>
        <v>0.25</v>
      </c>
      <c r="P26" s="13" t="s">
        <v>287</v>
      </c>
    </row>
    <row r="27">
      <c r="A27" s="13" t="s">
        <v>96</v>
      </c>
      <c r="B27" s="13" t="s">
        <v>142</v>
      </c>
      <c r="C27" s="13" t="s">
        <v>47</v>
      </c>
      <c r="D27" s="13">
        <v>0.0</v>
      </c>
      <c r="E27" s="13" t="s">
        <v>156</v>
      </c>
      <c r="F27" s="13">
        <v>1.0</v>
      </c>
      <c r="G27" s="23"/>
      <c r="H27" s="23"/>
      <c r="I27" s="13" t="s">
        <v>47</v>
      </c>
      <c r="J27" s="31">
        <v>0.0</v>
      </c>
      <c r="K27" s="13" t="s">
        <v>47</v>
      </c>
      <c r="L27" s="31">
        <v>0.0</v>
      </c>
      <c r="M27" s="13">
        <v>2.0</v>
      </c>
      <c r="N27" s="13">
        <v>2.0</v>
      </c>
      <c r="O27" s="23">
        <f t="shared" si="1"/>
        <v>1</v>
      </c>
      <c r="P27" s="13" t="s">
        <v>292</v>
      </c>
    </row>
    <row r="28">
      <c r="A28" s="13" t="s">
        <v>135</v>
      </c>
      <c r="B28" s="13" t="s">
        <v>80</v>
      </c>
      <c r="C28" s="13" t="s">
        <v>47</v>
      </c>
      <c r="D28" s="13">
        <v>0.0</v>
      </c>
      <c r="E28" s="13" t="s">
        <v>247</v>
      </c>
      <c r="F28" s="13">
        <v>1.0</v>
      </c>
      <c r="G28" s="13"/>
      <c r="H28" s="13"/>
      <c r="I28" s="13" t="s">
        <v>47</v>
      </c>
      <c r="J28" s="13">
        <v>0.0</v>
      </c>
      <c r="K28" s="13" t="s">
        <v>47</v>
      </c>
      <c r="L28" s="13">
        <v>0.0</v>
      </c>
      <c r="M28" s="13">
        <v>5.0</v>
      </c>
      <c r="N28" s="13">
        <v>1.0</v>
      </c>
      <c r="O28" s="23">
        <f t="shared" si="1"/>
        <v>0.2</v>
      </c>
      <c r="P28" s="13" t="s">
        <v>297</v>
      </c>
    </row>
    <row r="29">
      <c r="A29" s="13" t="s">
        <v>59</v>
      </c>
      <c r="B29" s="13" t="s">
        <v>80</v>
      </c>
      <c r="C29" s="13" t="s">
        <v>47</v>
      </c>
      <c r="D29" s="13">
        <v>0.0</v>
      </c>
      <c r="E29" s="13" t="s">
        <v>242</v>
      </c>
      <c r="F29" s="13">
        <v>1.0</v>
      </c>
      <c r="G29" s="13"/>
      <c r="H29" s="13"/>
      <c r="I29" s="13" t="s">
        <v>47</v>
      </c>
      <c r="J29" s="13">
        <v>0.0</v>
      </c>
      <c r="K29" s="13" t="s">
        <v>47</v>
      </c>
      <c r="L29" s="13">
        <v>0.0</v>
      </c>
      <c r="M29" s="13">
        <v>5.0</v>
      </c>
      <c r="N29" s="13">
        <v>1.0</v>
      </c>
      <c r="O29" s="23">
        <f t="shared" si="1"/>
        <v>0.2</v>
      </c>
      <c r="P29" s="13" t="s">
        <v>302</v>
      </c>
    </row>
    <row r="30">
      <c r="A30" s="13" t="s">
        <v>56</v>
      </c>
      <c r="B30" s="13" t="s">
        <v>28</v>
      </c>
      <c r="C30" s="13" t="s">
        <v>47</v>
      </c>
      <c r="D30" s="13">
        <v>0.0</v>
      </c>
      <c r="E30" s="13" t="s">
        <v>225</v>
      </c>
      <c r="F30" s="13">
        <v>1.0</v>
      </c>
      <c r="G30" s="13"/>
      <c r="H30" s="13"/>
      <c r="I30" s="13" t="s">
        <v>47</v>
      </c>
      <c r="J30" s="13">
        <v>0.0</v>
      </c>
      <c r="K30" s="13" t="s">
        <v>47</v>
      </c>
      <c r="L30" s="13">
        <v>0.0</v>
      </c>
      <c r="M30" s="13">
        <v>5.0</v>
      </c>
      <c r="N30" s="13">
        <v>1.0</v>
      </c>
      <c r="O30" s="23">
        <f t="shared" si="1"/>
        <v>0.2</v>
      </c>
      <c r="P30" s="13" t="s">
        <v>303</v>
      </c>
    </row>
    <row r="31">
      <c r="A31" s="13" t="s">
        <v>58</v>
      </c>
      <c r="B31" s="13" t="s">
        <v>28</v>
      </c>
      <c r="C31" s="13" t="s">
        <v>47</v>
      </c>
      <c r="D31" s="13">
        <v>0.0</v>
      </c>
      <c r="E31" s="13" t="s">
        <v>199</v>
      </c>
      <c r="F31" s="13">
        <v>1.0</v>
      </c>
      <c r="G31" s="13"/>
      <c r="H31" s="13"/>
      <c r="I31" s="13" t="s">
        <v>47</v>
      </c>
      <c r="J31" s="13">
        <v>0.0</v>
      </c>
      <c r="K31" s="13" t="s">
        <v>47</v>
      </c>
      <c r="L31" s="13">
        <v>0.0</v>
      </c>
      <c r="M31" s="13">
        <v>5.0</v>
      </c>
      <c r="N31" s="13">
        <v>1.0</v>
      </c>
      <c r="O31" s="23">
        <f t="shared" si="1"/>
        <v>0.2</v>
      </c>
      <c r="P31" s="13" t="s">
        <v>308</v>
      </c>
    </row>
    <row r="32">
      <c r="A32" s="13" t="s">
        <v>309</v>
      </c>
      <c r="B32" s="13" t="s">
        <v>207</v>
      </c>
      <c r="C32" s="13" t="s">
        <v>47</v>
      </c>
      <c r="D32" s="13">
        <v>0.0</v>
      </c>
      <c r="E32" s="13" t="s">
        <v>156</v>
      </c>
      <c r="F32" s="13">
        <v>1.0</v>
      </c>
      <c r="G32" s="13" t="s">
        <v>56</v>
      </c>
      <c r="H32" s="13">
        <v>1.0</v>
      </c>
      <c r="I32" s="13" t="s">
        <v>47</v>
      </c>
      <c r="J32" s="13">
        <v>0.0</v>
      </c>
      <c r="K32" s="13" t="s">
        <v>47</v>
      </c>
      <c r="L32" s="13">
        <v>0.0</v>
      </c>
      <c r="M32" s="13">
        <v>4.0</v>
      </c>
      <c r="N32" s="13">
        <v>1.0</v>
      </c>
      <c r="O32" s="23">
        <f t="shared" si="1"/>
        <v>0.25</v>
      </c>
      <c r="P32" s="13" t="s">
        <v>314</v>
      </c>
    </row>
    <row r="33">
      <c r="A33" s="13" t="s">
        <v>117</v>
      </c>
      <c r="B33" s="13" t="s">
        <v>159</v>
      </c>
      <c r="C33" s="13" t="s">
        <v>163</v>
      </c>
      <c r="D33" s="13">
        <v>1.0</v>
      </c>
      <c r="E33" s="13" t="s">
        <v>309</v>
      </c>
      <c r="F33" s="13">
        <v>1.0</v>
      </c>
      <c r="G33" s="13" t="s">
        <v>47</v>
      </c>
      <c r="H33" s="13">
        <v>0.0</v>
      </c>
      <c r="I33" s="13" t="s">
        <v>47</v>
      </c>
      <c r="J33" s="13">
        <v>0.0</v>
      </c>
      <c r="K33" s="13" t="s">
        <v>47</v>
      </c>
      <c r="L33" s="13">
        <v>0.0</v>
      </c>
      <c r="M33" s="13">
        <v>5.0</v>
      </c>
      <c r="N33" s="13">
        <v>1.0</v>
      </c>
      <c r="O33" s="23">
        <f t="shared" si="1"/>
        <v>0.2</v>
      </c>
      <c r="P33" s="13" t="s">
        <v>320</v>
      </c>
    </row>
    <row r="34">
      <c r="A34" s="13" t="s">
        <v>133</v>
      </c>
      <c r="B34" s="13" t="s">
        <v>207</v>
      </c>
      <c r="C34" s="13" t="s">
        <v>47</v>
      </c>
      <c r="D34" s="13">
        <v>0.0</v>
      </c>
      <c r="E34" s="13" t="s">
        <v>187</v>
      </c>
      <c r="F34" s="13">
        <v>1.0</v>
      </c>
      <c r="G34" s="13" t="s">
        <v>58</v>
      </c>
      <c r="H34" s="13">
        <v>1.0</v>
      </c>
      <c r="I34" s="13" t="s">
        <v>47</v>
      </c>
      <c r="J34" s="13">
        <v>0.0</v>
      </c>
      <c r="K34" s="13" t="s">
        <v>47</v>
      </c>
      <c r="L34" s="13">
        <v>0.0</v>
      </c>
      <c r="M34" s="13">
        <v>4.0</v>
      </c>
      <c r="N34" s="13">
        <v>1.0</v>
      </c>
      <c r="O34" s="23">
        <f t="shared" si="1"/>
        <v>0.25</v>
      </c>
      <c r="P34" s="13" t="s">
        <v>324</v>
      </c>
    </row>
    <row r="35">
      <c r="A35" s="13" t="s">
        <v>146</v>
      </c>
      <c r="B35" s="13" t="s">
        <v>237</v>
      </c>
      <c r="C35" s="13" t="s">
        <v>47</v>
      </c>
      <c r="D35" s="13">
        <v>0.0</v>
      </c>
      <c r="E35" s="13" t="s">
        <v>59</v>
      </c>
      <c r="F35" s="13">
        <v>1.0</v>
      </c>
      <c r="G35" s="13" t="s">
        <v>56</v>
      </c>
      <c r="H35" s="13">
        <v>1.0</v>
      </c>
      <c r="I35" s="13" t="s">
        <v>47</v>
      </c>
      <c r="J35" s="13">
        <v>0.0</v>
      </c>
      <c r="K35" s="13" t="s">
        <v>47</v>
      </c>
      <c r="L35" s="13">
        <v>0.0</v>
      </c>
      <c r="M35" s="13">
        <v>5.0</v>
      </c>
      <c r="N35" s="13">
        <v>5.0</v>
      </c>
      <c r="O35" s="23">
        <f t="shared" si="1"/>
        <v>1</v>
      </c>
      <c r="P35" s="13" t="s">
        <v>327</v>
      </c>
    </row>
    <row r="36">
      <c r="A36" s="13" t="s">
        <v>167</v>
      </c>
      <c r="B36" s="13" t="s">
        <v>159</v>
      </c>
      <c r="C36" s="13" t="s">
        <v>163</v>
      </c>
      <c r="D36" s="13">
        <v>1.0</v>
      </c>
      <c r="E36" s="13" t="s">
        <v>187</v>
      </c>
      <c r="F36" s="13">
        <v>1.0</v>
      </c>
      <c r="G36" s="23" t="s">
        <v>47</v>
      </c>
      <c r="H36" s="23">
        <v>0.0</v>
      </c>
      <c r="I36" s="13" t="s">
        <v>47</v>
      </c>
      <c r="J36" s="31">
        <v>0.0</v>
      </c>
      <c r="K36" s="13" t="s">
        <v>47</v>
      </c>
      <c r="L36" s="31">
        <v>0.0</v>
      </c>
      <c r="M36" s="13">
        <v>5.0</v>
      </c>
      <c r="N36" s="13">
        <v>1.0</v>
      </c>
      <c r="O36" s="23">
        <f t="shared" si="1"/>
        <v>0.2</v>
      </c>
      <c r="P36" s="13" t="s">
        <v>332</v>
      </c>
    </row>
    <row r="37">
      <c r="A37" s="13" t="s">
        <v>180</v>
      </c>
      <c r="B37" s="13" t="s">
        <v>207</v>
      </c>
      <c r="C37" s="13" t="s">
        <v>47</v>
      </c>
      <c r="D37" s="13">
        <v>0.0</v>
      </c>
      <c r="E37" s="13" t="s">
        <v>135</v>
      </c>
      <c r="F37" s="13">
        <v>1.0</v>
      </c>
      <c r="G37" s="23" t="s">
        <v>56</v>
      </c>
      <c r="H37" s="23">
        <v>1.0</v>
      </c>
      <c r="I37" s="13" t="s">
        <v>47</v>
      </c>
      <c r="J37" s="31">
        <v>0.0</v>
      </c>
      <c r="K37" s="13" t="s">
        <v>47</v>
      </c>
      <c r="L37" s="31">
        <v>0.0</v>
      </c>
      <c r="M37" s="13">
        <v>4.0</v>
      </c>
      <c r="N37" s="13">
        <v>1.0</v>
      </c>
      <c r="O37" s="23">
        <f t="shared" si="1"/>
        <v>0.25</v>
      </c>
      <c r="P37" s="13" t="s">
        <v>335</v>
      </c>
    </row>
    <row r="38">
      <c r="A38" s="13" t="s">
        <v>337</v>
      </c>
      <c r="B38" s="13" t="s">
        <v>207</v>
      </c>
      <c r="C38" s="13" t="s">
        <v>163</v>
      </c>
      <c r="D38" s="13">
        <v>0.5</v>
      </c>
      <c r="E38" s="13" t="s">
        <v>272</v>
      </c>
      <c r="F38" s="13">
        <v>1.0</v>
      </c>
      <c r="G38" s="23" t="s">
        <v>47</v>
      </c>
      <c r="H38" s="23">
        <v>0.0</v>
      </c>
      <c r="I38" s="13" t="s">
        <v>47</v>
      </c>
      <c r="J38" s="31">
        <v>0.0</v>
      </c>
      <c r="K38" s="13" t="s">
        <v>47</v>
      </c>
      <c r="L38" s="31">
        <v>0.0</v>
      </c>
      <c r="M38" s="13">
        <v>4.0</v>
      </c>
      <c r="N38" s="13">
        <v>2.0</v>
      </c>
      <c r="O38" s="23">
        <f t="shared" si="1"/>
        <v>0.5</v>
      </c>
      <c r="P38" s="13" t="s">
        <v>341</v>
      </c>
    </row>
    <row r="39">
      <c r="A39" s="13" t="s">
        <v>197</v>
      </c>
      <c r="B39" s="13" t="s">
        <v>91</v>
      </c>
      <c r="C39" s="13" t="s">
        <v>47</v>
      </c>
      <c r="D39" s="13">
        <v>0.0</v>
      </c>
      <c r="E39" s="13" t="s">
        <v>337</v>
      </c>
      <c r="F39" s="13">
        <v>1.0</v>
      </c>
      <c r="G39" s="23" t="s">
        <v>47</v>
      </c>
      <c r="H39" s="23">
        <v>0.0</v>
      </c>
      <c r="I39" s="13" t="s">
        <v>47</v>
      </c>
      <c r="J39" s="31">
        <v>0.0</v>
      </c>
      <c r="K39" s="13" t="s">
        <v>47</v>
      </c>
      <c r="L39" s="31">
        <v>0.0</v>
      </c>
      <c r="M39" s="13">
        <v>5.0</v>
      </c>
      <c r="N39" s="13">
        <v>1.0</v>
      </c>
      <c r="O39" s="23">
        <f t="shared" si="1"/>
        <v>0.2</v>
      </c>
      <c r="P39" s="13" t="s">
        <v>344</v>
      </c>
    </row>
    <row r="40">
      <c r="A40" s="13" t="s">
        <v>191</v>
      </c>
      <c r="B40" s="13" t="s">
        <v>159</v>
      </c>
      <c r="C40" s="13" t="s">
        <v>163</v>
      </c>
      <c r="D40" s="13">
        <v>1.0</v>
      </c>
      <c r="E40" s="13" t="s">
        <v>197</v>
      </c>
      <c r="F40" s="13">
        <v>1.0</v>
      </c>
      <c r="G40" s="23" t="s">
        <v>47</v>
      </c>
      <c r="H40" s="23">
        <v>0.0</v>
      </c>
      <c r="I40" s="13" t="s">
        <v>47</v>
      </c>
      <c r="J40" s="31">
        <v>0.0</v>
      </c>
      <c r="K40" s="13" t="s">
        <v>47</v>
      </c>
      <c r="L40" s="31">
        <v>0.0</v>
      </c>
      <c r="M40" s="13">
        <v>5.0</v>
      </c>
      <c r="N40" s="13">
        <v>1.0</v>
      </c>
      <c r="O40" s="23">
        <f t="shared" si="1"/>
        <v>0.2</v>
      </c>
      <c r="P40" s="13" t="s">
        <v>349</v>
      </c>
    </row>
    <row r="41">
      <c r="A41" s="13" t="s">
        <v>238</v>
      </c>
      <c r="B41" s="13" t="s">
        <v>237</v>
      </c>
      <c r="C41" s="13" t="s">
        <v>47</v>
      </c>
      <c r="D41" s="13">
        <v>0.0</v>
      </c>
      <c r="E41" s="13" t="s">
        <v>272</v>
      </c>
      <c r="F41" s="13">
        <v>1.0</v>
      </c>
      <c r="G41" s="23" t="s">
        <v>187</v>
      </c>
      <c r="H41" s="23">
        <v>1.0</v>
      </c>
      <c r="I41" s="13" t="s">
        <v>47</v>
      </c>
      <c r="J41" s="31">
        <v>0.0</v>
      </c>
      <c r="K41" s="13" t="s">
        <v>47</v>
      </c>
      <c r="L41" s="31">
        <v>0.0</v>
      </c>
      <c r="M41" s="13">
        <v>5.0</v>
      </c>
      <c r="N41" s="13">
        <v>5.0</v>
      </c>
      <c r="O41" s="23">
        <f t="shared" si="1"/>
        <v>1</v>
      </c>
      <c r="P41" s="13" t="s">
        <v>354</v>
      </c>
    </row>
    <row r="42">
      <c r="A42" s="13" t="s">
        <v>267</v>
      </c>
      <c r="B42" s="13" t="s">
        <v>207</v>
      </c>
      <c r="C42" s="13" t="s">
        <v>160</v>
      </c>
      <c r="D42" s="13">
        <v>0.5</v>
      </c>
      <c r="E42" s="13" t="s">
        <v>272</v>
      </c>
      <c r="F42" s="13">
        <v>1.0</v>
      </c>
      <c r="G42" s="23" t="s">
        <v>141</v>
      </c>
      <c r="H42" s="23">
        <v>1.0</v>
      </c>
      <c r="I42" s="13" t="s">
        <v>47</v>
      </c>
      <c r="J42" s="31">
        <v>0.0</v>
      </c>
      <c r="K42" s="13" t="s">
        <v>47</v>
      </c>
      <c r="L42" s="31">
        <v>0.0</v>
      </c>
      <c r="M42" s="13">
        <v>4.0</v>
      </c>
      <c r="N42" s="13">
        <v>1.0</v>
      </c>
      <c r="O42" s="23">
        <f t="shared" si="1"/>
        <v>0.25</v>
      </c>
      <c r="P42" s="13" t="s">
        <v>358</v>
      </c>
    </row>
    <row r="43">
      <c r="A43" s="13" t="s">
        <v>253</v>
      </c>
      <c r="B43" s="13" t="s">
        <v>207</v>
      </c>
      <c r="C43" s="13" t="s">
        <v>47</v>
      </c>
      <c r="D43" s="13">
        <v>0.0</v>
      </c>
      <c r="E43" s="13" t="s">
        <v>195</v>
      </c>
      <c r="F43" s="13">
        <v>1.0</v>
      </c>
      <c r="G43" s="23" t="s">
        <v>255</v>
      </c>
      <c r="H43" s="23">
        <v>1.0</v>
      </c>
      <c r="I43" s="13" t="s">
        <v>291</v>
      </c>
      <c r="J43" s="31">
        <v>1.0</v>
      </c>
      <c r="K43" s="13" t="s">
        <v>47</v>
      </c>
      <c r="L43" s="31">
        <v>0.0</v>
      </c>
      <c r="M43" s="13">
        <v>5.0</v>
      </c>
      <c r="N43" s="13">
        <v>5.0</v>
      </c>
      <c r="O43" s="23">
        <f t="shared" si="1"/>
        <v>1</v>
      </c>
      <c r="P43" s="13" t="s">
        <v>362</v>
      </c>
    </row>
    <row r="44">
      <c r="A44" s="13" t="s">
        <v>262</v>
      </c>
      <c r="B44" s="13" t="s">
        <v>207</v>
      </c>
      <c r="C44" s="13" t="s">
        <v>47</v>
      </c>
      <c r="D44" s="13">
        <v>0.0</v>
      </c>
      <c r="E44" s="13" t="s">
        <v>272</v>
      </c>
      <c r="F44" s="13">
        <v>1.0</v>
      </c>
      <c r="G44" s="23" t="s">
        <v>195</v>
      </c>
      <c r="H44" s="23">
        <v>1.0</v>
      </c>
      <c r="I44" s="13" t="s">
        <v>47</v>
      </c>
      <c r="J44" s="31">
        <v>0.0</v>
      </c>
      <c r="K44" s="13" t="s">
        <v>47</v>
      </c>
      <c r="L44" s="31">
        <v>0.0</v>
      </c>
      <c r="M44" s="13">
        <v>4.0</v>
      </c>
      <c r="N44" s="13">
        <v>1.0</v>
      </c>
      <c r="O44" s="23">
        <f t="shared" si="1"/>
        <v>0.25</v>
      </c>
      <c r="P44" s="13" t="s">
        <v>365</v>
      </c>
    </row>
    <row r="45">
      <c r="A45" s="13" t="s">
        <v>366</v>
      </c>
      <c r="B45" s="13" t="s">
        <v>237</v>
      </c>
      <c r="C45" s="13" t="s">
        <v>47</v>
      </c>
      <c r="D45" s="13">
        <v>0.0</v>
      </c>
      <c r="E45" s="13" t="s">
        <v>204</v>
      </c>
      <c r="F45" s="13">
        <v>1.0</v>
      </c>
      <c r="G45" s="23" t="s">
        <v>47</v>
      </c>
      <c r="H45" s="23">
        <v>0.0</v>
      </c>
      <c r="I45" s="13" t="s">
        <v>47</v>
      </c>
      <c r="J45" s="31">
        <v>0.0</v>
      </c>
      <c r="K45" s="13" t="s">
        <v>47</v>
      </c>
      <c r="L45" s="31">
        <v>0.0</v>
      </c>
      <c r="M45" s="13">
        <v>5.0</v>
      </c>
      <c r="N45" s="13">
        <v>5.0</v>
      </c>
      <c r="O45" s="23">
        <f t="shared" si="1"/>
        <v>1</v>
      </c>
      <c r="P45" s="13" t="s">
        <v>373</v>
      </c>
    </row>
    <row r="46">
      <c r="A46" s="13" t="s">
        <v>301</v>
      </c>
      <c r="B46" s="13" t="s">
        <v>207</v>
      </c>
      <c r="C46" s="13" t="s">
        <v>366</v>
      </c>
      <c r="D46" s="13">
        <v>0.5</v>
      </c>
      <c r="E46" s="13" t="s">
        <v>58</v>
      </c>
      <c r="F46" s="13">
        <v>1.0</v>
      </c>
      <c r="G46" s="23" t="s">
        <v>47</v>
      </c>
      <c r="H46" s="23">
        <v>0.0</v>
      </c>
      <c r="I46" s="13" t="s">
        <v>47</v>
      </c>
      <c r="J46" s="31">
        <v>0.0</v>
      </c>
      <c r="K46" s="13" t="s">
        <v>47</v>
      </c>
      <c r="L46" s="31">
        <v>0.0</v>
      </c>
      <c r="M46" s="13">
        <v>4.0</v>
      </c>
      <c r="N46" s="13">
        <v>1.0</v>
      </c>
      <c r="O46" s="23">
        <f t="shared" si="1"/>
        <v>0.25</v>
      </c>
      <c r="P46" s="13" t="s">
        <v>377</v>
      </c>
    </row>
    <row r="47">
      <c r="A47" s="13" t="s">
        <v>307</v>
      </c>
      <c r="B47" s="13" t="s">
        <v>207</v>
      </c>
      <c r="C47" s="13" t="s">
        <v>160</v>
      </c>
      <c r="D47" s="13">
        <v>0.5</v>
      </c>
      <c r="E47" s="13" t="s">
        <v>301</v>
      </c>
      <c r="F47" s="13">
        <v>1.0</v>
      </c>
      <c r="G47" s="23" t="s">
        <v>58</v>
      </c>
      <c r="H47" s="23">
        <v>1.0</v>
      </c>
      <c r="I47" s="13" t="s">
        <v>47</v>
      </c>
      <c r="J47" s="31">
        <v>0.0</v>
      </c>
      <c r="K47" s="13" t="s">
        <v>47</v>
      </c>
      <c r="L47" s="31">
        <v>0.0</v>
      </c>
      <c r="M47" s="13">
        <v>4.0</v>
      </c>
      <c r="N47" s="13">
        <v>2.0</v>
      </c>
      <c r="O47" s="23">
        <f t="shared" si="1"/>
        <v>0.5</v>
      </c>
      <c r="P47" s="13" t="s">
        <v>381</v>
      </c>
    </row>
    <row r="48">
      <c r="A48" s="13" t="s">
        <v>260</v>
      </c>
      <c r="B48" s="13" t="s">
        <v>237</v>
      </c>
      <c r="C48" s="13" t="s">
        <v>47</v>
      </c>
      <c r="D48" s="13">
        <v>0.0</v>
      </c>
      <c r="E48" s="13" t="s">
        <v>307</v>
      </c>
      <c r="F48" s="13">
        <v>1.0</v>
      </c>
      <c r="G48" s="13" t="s">
        <v>301</v>
      </c>
      <c r="H48" s="13">
        <v>1.0</v>
      </c>
      <c r="I48" s="13" t="s">
        <v>272</v>
      </c>
      <c r="J48" s="13">
        <v>1.0</v>
      </c>
      <c r="K48" s="13" t="s">
        <v>47</v>
      </c>
      <c r="L48" s="13">
        <v>0.0</v>
      </c>
      <c r="M48" s="13">
        <v>5.0</v>
      </c>
      <c r="N48" s="13">
        <v>5.0</v>
      </c>
      <c r="O48" s="23">
        <f t="shared" si="1"/>
        <v>1</v>
      </c>
      <c r="P48" s="13" t="s">
        <v>384</v>
      </c>
    </row>
    <row r="49">
      <c r="A49" s="13" t="s">
        <v>180</v>
      </c>
      <c r="B49" s="13" t="s">
        <v>207</v>
      </c>
      <c r="C49" s="13" t="s">
        <v>47</v>
      </c>
      <c r="D49" s="13">
        <v>0.0</v>
      </c>
      <c r="E49" s="13" t="s">
        <v>135</v>
      </c>
      <c r="F49" s="13">
        <v>1.0</v>
      </c>
      <c r="G49" s="23" t="s">
        <v>286</v>
      </c>
      <c r="H49" s="23">
        <v>1.0</v>
      </c>
      <c r="I49" s="13" t="s">
        <v>47</v>
      </c>
      <c r="J49" s="31">
        <v>0.0</v>
      </c>
      <c r="K49" s="13" t="s">
        <v>47</v>
      </c>
      <c r="L49" s="31">
        <v>0.0</v>
      </c>
      <c r="M49" s="13">
        <v>4.0</v>
      </c>
      <c r="N49" s="13">
        <v>1.0</v>
      </c>
      <c r="O49" s="23">
        <f t="shared" si="1"/>
        <v>0.25</v>
      </c>
      <c r="P49" s="13" t="s">
        <v>387</v>
      </c>
    </row>
    <row r="50">
      <c r="A50" s="13" t="s">
        <v>146</v>
      </c>
      <c r="B50" s="13" t="s">
        <v>237</v>
      </c>
      <c r="C50" s="13" t="s">
        <v>47</v>
      </c>
      <c r="D50" s="13">
        <v>0.0</v>
      </c>
      <c r="E50" s="13" t="s">
        <v>291</v>
      </c>
      <c r="F50" s="13">
        <v>1.0</v>
      </c>
      <c r="G50" s="13" t="s">
        <v>286</v>
      </c>
      <c r="H50" s="13">
        <v>1.0</v>
      </c>
      <c r="I50" s="13" t="s">
        <v>47</v>
      </c>
      <c r="J50" s="13">
        <v>0.0</v>
      </c>
      <c r="K50" s="13" t="s">
        <v>47</v>
      </c>
      <c r="L50" s="13">
        <v>0.0</v>
      </c>
      <c r="M50" s="13">
        <v>5.0</v>
      </c>
      <c r="N50" s="13">
        <v>5.0</v>
      </c>
      <c r="O50" s="23">
        <f t="shared" si="1"/>
        <v>1</v>
      </c>
      <c r="P50" s="13" t="s">
        <v>388</v>
      </c>
    </row>
    <row r="51">
      <c r="A51" s="13" t="s">
        <v>295</v>
      </c>
      <c r="B51" s="13" t="s">
        <v>145</v>
      </c>
      <c r="C51" s="13" t="s">
        <v>366</v>
      </c>
      <c r="D51" s="13">
        <v>1.0</v>
      </c>
      <c r="E51" s="13" t="s">
        <v>58</v>
      </c>
      <c r="F51" s="13">
        <v>1.0</v>
      </c>
      <c r="G51" s="23" t="s">
        <v>47</v>
      </c>
      <c r="H51" s="23">
        <v>0.0</v>
      </c>
      <c r="I51" s="13" t="s">
        <v>47</v>
      </c>
      <c r="J51" s="31">
        <v>0.0</v>
      </c>
      <c r="K51" s="13" t="s">
        <v>47</v>
      </c>
      <c r="L51" s="31">
        <v>0.0</v>
      </c>
      <c r="M51" s="13">
        <v>10.0</v>
      </c>
      <c r="N51" s="13">
        <v>5.0</v>
      </c>
      <c r="O51" s="23">
        <f t="shared" si="1"/>
        <v>0.5</v>
      </c>
      <c r="P51" s="13" t="s">
        <v>389</v>
      </c>
    </row>
    <row r="52">
      <c r="A52" s="13" t="s">
        <v>290</v>
      </c>
      <c r="B52" s="13" t="s">
        <v>237</v>
      </c>
      <c r="C52" s="13" t="s">
        <v>47</v>
      </c>
      <c r="D52" s="13">
        <v>0.0</v>
      </c>
      <c r="E52" s="13" t="s">
        <v>224</v>
      </c>
      <c r="F52" s="13">
        <v>1.0</v>
      </c>
      <c r="G52" s="23" t="s">
        <v>255</v>
      </c>
      <c r="H52" s="23">
        <v>1.0</v>
      </c>
      <c r="I52" s="13" t="s">
        <v>286</v>
      </c>
      <c r="J52" s="31">
        <v>1.0</v>
      </c>
      <c r="K52" s="13" t="s">
        <v>47</v>
      </c>
      <c r="L52" s="31">
        <v>0.0</v>
      </c>
      <c r="M52" s="13">
        <v>5.0</v>
      </c>
      <c r="N52" s="13">
        <v>5.0</v>
      </c>
      <c r="O52" s="23">
        <f t="shared" si="1"/>
        <v>1</v>
      </c>
      <c r="P52" s="13" t="s">
        <v>391</v>
      </c>
    </row>
    <row r="53">
      <c r="A53" s="13" t="s">
        <v>300</v>
      </c>
      <c r="B53" s="13" t="s">
        <v>159</v>
      </c>
      <c r="C53" s="13" t="s">
        <v>163</v>
      </c>
      <c r="D53" s="13">
        <v>1.0</v>
      </c>
      <c r="E53" s="13" t="s">
        <v>255</v>
      </c>
      <c r="F53" s="13">
        <v>1.0</v>
      </c>
      <c r="G53" s="23" t="s">
        <v>47</v>
      </c>
      <c r="H53" s="23">
        <v>0.0</v>
      </c>
      <c r="I53" s="13" t="s">
        <v>47</v>
      </c>
      <c r="J53" s="31">
        <v>0.0</v>
      </c>
      <c r="K53" s="13" t="s">
        <v>47</v>
      </c>
      <c r="L53" s="31">
        <v>0.0</v>
      </c>
      <c r="M53" s="13">
        <v>5.0</v>
      </c>
      <c r="N53" s="13">
        <v>1.0</v>
      </c>
      <c r="O53" s="23">
        <f t="shared" si="1"/>
        <v>0.2</v>
      </c>
      <c r="P53" s="13" t="s">
        <v>393</v>
      </c>
    </row>
    <row r="54">
      <c r="A54" s="62" t="s">
        <v>312</v>
      </c>
      <c r="B54" s="62" t="s">
        <v>142</v>
      </c>
      <c r="C54" s="62" t="s">
        <v>47</v>
      </c>
      <c r="D54" s="63">
        <v>0.0</v>
      </c>
      <c r="E54" s="62" t="s">
        <v>243</v>
      </c>
      <c r="F54" s="63">
        <v>1.0</v>
      </c>
      <c r="G54" s="62" t="s">
        <v>47</v>
      </c>
      <c r="H54" s="63">
        <v>0.0</v>
      </c>
      <c r="I54" s="62" t="s">
        <v>47</v>
      </c>
      <c r="J54" s="63">
        <v>0.0</v>
      </c>
      <c r="K54" s="62" t="s">
        <v>47</v>
      </c>
      <c r="L54" s="63">
        <v>0.0</v>
      </c>
      <c r="M54" s="63">
        <v>2.0</v>
      </c>
      <c r="N54" s="63">
        <v>1.0</v>
      </c>
      <c r="O54" s="63">
        <v>0.5</v>
      </c>
      <c r="P54" s="62" t="s">
        <v>397</v>
      </c>
    </row>
    <row r="55">
      <c r="A55" s="64" t="s">
        <v>325</v>
      </c>
      <c r="B55" s="64" t="s">
        <v>159</v>
      </c>
      <c r="C55" s="64" t="s">
        <v>163</v>
      </c>
      <c r="D55" s="65">
        <v>1.0</v>
      </c>
      <c r="E55" s="64" t="s">
        <v>331</v>
      </c>
      <c r="F55" s="65">
        <v>1.0</v>
      </c>
      <c r="G55" s="64" t="s">
        <v>47</v>
      </c>
      <c r="H55" s="65">
        <v>0.0</v>
      </c>
      <c r="I55" s="64" t="s">
        <v>47</v>
      </c>
      <c r="J55" s="65">
        <v>0.0</v>
      </c>
      <c r="K55" s="64" t="s">
        <v>47</v>
      </c>
      <c r="L55" s="65">
        <v>0.0</v>
      </c>
      <c r="M55" s="65">
        <v>5.0</v>
      </c>
      <c r="N55" s="65">
        <v>1.0</v>
      </c>
      <c r="O55" s="65">
        <f t="shared" ref="O55:O59" si="2">N55/M55</f>
        <v>0.2</v>
      </c>
      <c r="P55" s="64" t="s">
        <v>402</v>
      </c>
    </row>
    <row r="56">
      <c r="A56" s="62" t="s">
        <v>403</v>
      </c>
      <c r="B56" s="62" t="s">
        <v>227</v>
      </c>
      <c r="C56" s="62" t="s">
        <v>47</v>
      </c>
      <c r="D56" s="66">
        <v>0.0</v>
      </c>
      <c r="E56" s="62" t="s">
        <v>264</v>
      </c>
      <c r="F56" s="66">
        <v>1.0</v>
      </c>
      <c r="G56" s="62" t="s">
        <v>58</v>
      </c>
      <c r="H56" s="66">
        <v>1.0</v>
      </c>
      <c r="I56" s="62" t="s">
        <v>47</v>
      </c>
      <c r="J56" s="66">
        <v>0.0</v>
      </c>
      <c r="K56" s="62" t="s">
        <v>47</v>
      </c>
      <c r="L56" s="66">
        <v>0.0</v>
      </c>
      <c r="M56" s="66">
        <v>4.0</v>
      </c>
      <c r="N56" s="66">
        <v>1.0</v>
      </c>
      <c r="O56" s="66">
        <f t="shared" si="2"/>
        <v>0.25</v>
      </c>
      <c r="P56" s="62" t="s">
        <v>408</v>
      </c>
    </row>
    <row r="57">
      <c r="A57" s="64" t="s">
        <v>340</v>
      </c>
      <c r="B57" s="64" t="s">
        <v>159</v>
      </c>
      <c r="C57" s="64" t="s">
        <v>163</v>
      </c>
      <c r="D57" s="65">
        <v>1.0</v>
      </c>
      <c r="E57" s="64" t="s">
        <v>403</v>
      </c>
      <c r="F57" s="65">
        <v>1.0</v>
      </c>
      <c r="G57" s="64" t="s">
        <v>47</v>
      </c>
      <c r="H57" s="65">
        <v>0.0</v>
      </c>
      <c r="I57" s="64" t="s">
        <v>47</v>
      </c>
      <c r="J57" s="65">
        <v>0.0</v>
      </c>
      <c r="K57" s="64" t="s">
        <v>47</v>
      </c>
      <c r="L57" s="65">
        <v>0.0</v>
      </c>
      <c r="M57" s="65">
        <v>5.0</v>
      </c>
      <c r="N57" s="65">
        <v>1.0</v>
      </c>
      <c r="O57" s="65">
        <f t="shared" si="2"/>
        <v>0.2</v>
      </c>
      <c r="P57" s="64" t="s">
        <v>412</v>
      </c>
    </row>
    <row r="58">
      <c r="A58" s="62" t="s">
        <v>342</v>
      </c>
      <c r="B58" s="62" t="s">
        <v>142</v>
      </c>
      <c r="C58" s="62" t="s">
        <v>47</v>
      </c>
      <c r="D58" s="66">
        <v>0.0</v>
      </c>
      <c r="E58" s="62" t="s">
        <v>282</v>
      </c>
      <c r="F58" s="66">
        <v>1.0</v>
      </c>
      <c r="G58" s="62" t="s">
        <v>47</v>
      </c>
      <c r="H58" s="66">
        <v>0.0</v>
      </c>
      <c r="I58" s="62" t="s">
        <v>47</v>
      </c>
      <c r="J58" s="66">
        <v>0.0</v>
      </c>
      <c r="K58" s="62" t="s">
        <v>47</v>
      </c>
      <c r="L58" s="66">
        <v>0.0</v>
      </c>
      <c r="M58" s="66">
        <v>2.0</v>
      </c>
      <c r="N58" s="66">
        <v>2.0</v>
      </c>
      <c r="O58" s="66">
        <f t="shared" si="2"/>
        <v>1</v>
      </c>
      <c r="P58" s="62" t="s">
        <v>415</v>
      </c>
    </row>
    <row r="59">
      <c r="A59" s="64" t="s">
        <v>370</v>
      </c>
      <c r="B59" s="64" t="s">
        <v>227</v>
      </c>
      <c r="C59" s="64" t="s">
        <v>47</v>
      </c>
      <c r="D59" s="65">
        <v>0.0</v>
      </c>
      <c r="E59" s="64" t="s">
        <v>417</v>
      </c>
      <c r="F59" s="65">
        <v>1.0</v>
      </c>
      <c r="G59" s="64" t="s">
        <v>47</v>
      </c>
      <c r="H59" s="65">
        <v>0.0</v>
      </c>
      <c r="I59" s="64" t="s">
        <v>47</v>
      </c>
      <c r="J59" s="65">
        <v>0.0</v>
      </c>
      <c r="K59" s="64" t="s">
        <v>47</v>
      </c>
      <c r="L59" s="65">
        <v>0.0</v>
      </c>
      <c r="M59" s="65">
        <v>4.0</v>
      </c>
      <c r="N59" s="65">
        <v>1.0</v>
      </c>
      <c r="O59" s="65">
        <f t="shared" si="2"/>
        <v>0.25</v>
      </c>
      <c r="P59" s="64" t="s">
        <v>420</v>
      </c>
    </row>
    <row r="60">
      <c r="A60" s="62" t="s">
        <v>369</v>
      </c>
      <c r="B60" s="62" t="s">
        <v>172</v>
      </c>
      <c r="C60" s="62" t="s">
        <v>163</v>
      </c>
      <c r="D60" s="66">
        <v>2.0</v>
      </c>
      <c r="E60" s="62" t="s">
        <v>422</v>
      </c>
      <c r="F60" s="66">
        <v>1.0</v>
      </c>
      <c r="G60" s="62" t="s">
        <v>47</v>
      </c>
      <c r="H60" s="66">
        <v>0.0</v>
      </c>
      <c r="I60" s="62" t="s">
        <v>47</v>
      </c>
      <c r="J60" s="66">
        <v>0.0</v>
      </c>
      <c r="K60" s="62" t="s">
        <v>47</v>
      </c>
      <c r="L60" s="66">
        <v>0.0</v>
      </c>
      <c r="M60" s="66">
        <v>5.0</v>
      </c>
      <c r="N60" s="66">
        <v>1.0</v>
      </c>
      <c r="O60" s="66">
        <v>0.2</v>
      </c>
      <c r="P60" s="62" t="s">
        <v>424</v>
      </c>
    </row>
    <row r="61">
      <c r="A61" s="64" t="s">
        <v>372</v>
      </c>
      <c r="B61" s="64" t="s">
        <v>207</v>
      </c>
      <c r="C61" s="64" t="s">
        <v>369</v>
      </c>
      <c r="D61" s="65">
        <v>0.5</v>
      </c>
      <c r="E61" s="64" t="s">
        <v>224</v>
      </c>
      <c r="F61" s="65">
        <v>1.0</v>
      </c>
      <c r="G61" s="64" t="s">
        <v>135</v>
      </c>
      <c r="H61" s="65">
        <v>1.0</v>
      </c>
      <c r="I61" s="64" t="s">
        <v>47</v>
      </c>
      <c r="J61" s="65">
        <v>0.0</v>
      </c>
      <c r="K61" s="64" t="s">
        <v>47</v>
      </c>
      <c r="L61" s="65">
        <v>0.0</v>
      </c>
      <c r="M61" s="65">
        <v>4.0</v>
      </c>
      <c r="N61" s="65">
        <v>2.0</v>
      </c>
      <c r="O61" s="65">
        <f>N61/M61</f>
        <v>0.5</v>
      </c>
      <c r="P61" s="64" t="s">
        <v>429</v>
      </c>
    </row>
    <row r="62">
      <c r="A62" s="13" t="s">
        <v>430</v>
      </c>
      <c r="B62" s="13" t="s">
        <v>145</v>
      </c>
      <c r="C62" s="13" t="s">
        <v>160</v>
      </c>
      <c r="D62" s="13">
        <v>1.0</v>
      </c>
      <c r="E62" s="13" t="s">
        <v>331</v>
      </c>
      <c r="F62" s="13">
        <v>1.0</v>
      </c>
      <c r="G62" s="13" t="s">
        <v>47</v>
      </c>
      <c r="H62" s="13">
        <v>0.0</v>
      </c>
      <c r="I62" s="13" t="s">
        <v>47</v>
      </c>
      <c r="J62" s="13">
        <v>0.0</v>
      </c>
      <c r="K62" s="13" t="s">
        <v>47</v>
      </c>
      <c r="L62" s="13">
        <v>0.0</v>
      </c>
      <c r="M62" s="13">
        <v>10.0</v>
      </c>
      <c r="N62" s="13">
        <v>5.0</v>
      </c>
      <c r="O62" s="13">
        <v>0.5</v>
      </c>
      <c r="P62" s="13" t="s">
        <v>434</v>
      </c>
    </row>
    <row r="63">
      <c r="A63" s="13" t="s">
        <v>378</v>
      </c>
      <c r="B63" s="13" t="s">
        <v>172</v>
      </c>
      <c r="C63" s="13" t="s">
        <v>160</v>
      </c>
      <c r="D63" s="13">
        <v>0.0</v>
      </c>
      <c r="E63" s="13" t="s">
        <v>430</v>
      </c>
      <c r="F63" s="13">
        <v>1.0</v>
      </c>
      <c r="G63" s="13" t="s">
        <v>47</v>
      </c>
      <c r="H63" s="13">
        <v>0.0</v>
      </c>
      <c r="I63" s="13" t="s">
        <v>47</v>
      </c>
      <c r="J63" s="13">
        <v>0.0</v>
      </c>
      <c r="K63" s="13" t="s">
        <v>47</v>
      </c>
      <c r="L63" s="13">
        <v>0.0</v>
      </c>
      <c r="M63" s="13">
        <v>5.0</v>
      </c>
      <c r="N63" s="13">
        <v>1.0</v>
      </c>
      <c r="O63" s="31">
        <v>0.2</v>
      </c>
      <c r="P63" s="13" t="s">
        <v>437</v>
      </c>
    </row>
    <row r="64">
      <c r="A64" s="13" t="s">
        <v>438</v>
      </c>
      <c r="B64" s="13" t="s">
        <v>152</v>
      </c>
      <c r="C64" s="13" t="s">
        <v>158</v>
      </c>
      <c r="D64" s="13">
        <v>1.0</v>
      </c>
      <c r="E64" s="13" t="s">
        <v>47</v>
      </c>
      <c r="F64" s="13">
        <v>0.0</v>
      </c>
      <c r="G64" s="13" t="s">
        <v>47</v>
      </c>
      <c r="H64" s="13">
        <v>0.0</v>
      </c>
      <c r="I64" s="13" t="s">
        <v>47</v>
      </c>
      <c r="J64" s="13">
        <v>0.0</v>
      </c>
      <c r="K64" s="13" t="s">
        <v>47</v>
      </c>
      <c r="L64" s="13">
        <v>0.0</v>
      </c>
      <c r="M64" s="13">
        <v>5.0</v>
      </c>
      <c r="N64" s="13">
        <v>1.0</v>
      </c>
      <c r="O64" s="31">
        <v>0.2</v>
      </c>
      <c r="P64" s="13" t="s">
        <v>441</v>
      </c>
    </row>
    <row r="65">
      <c r="A65" s="13" t="s">
        <v>380</v>
      </c>
      <c r="B65" s="13" t="s">
        <v>142</v>
      </c>
      <c r="C65" s="13" t="s">
        <v>47</v>
      </c>
      <c r="D65" s="13">
        <v>0.0</v>
      </c>
      <c r="E65" s="13" t="s">
        <v>438</v>
      </c>
      <c r="F65" s="13">
        <v>1.0</v>
      </c>
      <c r="G65" s="13" t="s">
        <v>47</v>
      </c>
      <c r="H65" s="13">
        <v>0.0</v>
      </c>
      <c r="I65" s="13" t="s">
        <v>47</v>
      </c>
      <c r="J65" s="13">
        <v>0.0</v>
      </c>
      <c r="K65" s="13" t="s">
        <v>47</v>
      </c>
      <c r="L65" s="13">
        <v>0.0</v>
      </c>
      <c r="M65" s="13">
        <v>2.0</v>
      </c>
      <c r="N65" s="13">
        <v>2.0</v>
      </c>
      <c r="O65" s="31">
        <v>1.0</v>
      </c>
      <c r="P65" s="13" t="s">
        <v>444</v>
      </c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23"/>
      <c r="P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23"/>
      <c r="P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23"/>
      <c r="P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3"/>
      <c r="P69" s="13"/>
    </row>
    <row r="70">
      <c r="A70" s="13"/>
      <c r="B70" s="13"/>
      <c r="C70" s="13"/>
      <c r="D70" s="13"/>
      <c r="E70" s="13"/>
      <c r="F70" s="13"/>
      <c r="G70" s="23"/>
      <c r="H70" s="23"/>
      <c r="I70" s="13"/>
      <c r="J70" s="31"/>
      <c r="K70" s="13"/>
      <c r="L70" s="31"/>
      <c r="M70" s="13"/>
      <c r="N70" s="13"/>
      <c r="O70" s="23"/>
      <c r="P70" s="13"/>
    </row>
    <row r="71">
      <c r="A71" s="13"/>
      <c r="B71" s="13"/>
      <c r="C71" s="13"/>
      <c r="D71" s="13"/>
      <c r="E71" s="13"/>
      <c r="F71" s="13"/>
      <c r="G71" s="23"/>
      <c r="H71" s="23"/>
      <c r="I71" s="13"/>
      <c r="J71" s="31"/>
      <c r="K71" s="13"/>
      <c r="L71" s="31"/>
      <c r="M71" s="13"/>
      <c r="N71" s="13"/>
      <c r="O71" s="23"/>
      <c r="P71" s="13"/>
    </row>
    <row r="72">
      <c r="A72" s="13"/>
      <c r="B72" s="13"/>
      <c r="C72" s="13"/>
      <c r="D72" s="13"/>
      <c r="E72" s="13"/>
      <c r="F72" s="13"/>
      <c r="G72" s="23"/>
      <c r="H72" s="23"/>
      <c r="I72" s="13"/>
      <c r="J72" s="31"/>
      <c r="K72" s="13"/>
      <c r="L72" s="31"/>
      <c r="M72" s="13"/>
      <c r="N72" s="13"/>
      <c r="O72" s="23"/>
      <c r="P72" s="13"/>
    </row>
    <row r="73">
      <c r="A73" s="13"/>
      <c r="B73" s="13"/>
      <c r="C73" s="13"/>
      <c r="D73" s="13"/>
      <c r="E73" s="13"/>
      <c r="F73" s="13"/>
      <c r="G73" s="23"/>
      <c r="H73" s="23"/>
      <c r="I73" s="13"/>
      <c r="J73" s="31"/>
      <c r="K73" s="13"/>
      <c r="L73" s="31"/>
      <c r="M73" s="13"/>
      <c r="N73" s="13"/>
      <c r="O73" s="23"/>
      <c r="P73" s="13"/>
    </row>
    <row r="74">
      <c r="A74" s="13"/>
      <c r="B74" s="13"/>
      <c r="C74" s="13"/>
      <c r="D74" s="13"/>
      <c r="E74" s="13"/>
      <c r="F74" s="13"/>
      <c r="G74" s="23"/>
      <c r="H74" s="23"/>
      <c r="I74" s="13"/>
      <c r="J74" s="31"/>
      <c r="K74" s="13"/>
      <c r="L74" s="31"/>
      <c r="M74" s="13"/>
      <c r="N74" s="13"/>
      <c r="O74" s="23"/>
      <c r="P74" s="13"/>
    </row>
    <row r="75">
      <c r="A75" s="13"/>
      <c r="B75" s="13"/>
      <c r="C75" s="13"/>
      <c r="D75" s="13"/>
      <c r="E75" s="13"/>
      <c r="F75" s="13"/>
      <c r="G75" s="23"/>
      <c r="H75" s="23"/>
      <c r="I75" s="13"/>
      <c r="J75" s="31"/>
      <c r="K75" s="13"/>
      <c r="L75" s="31"/>
      <c r="M75" s="13"/>
      <c r="N75" s="13"/>
      <c r="O75" s="23"/>
      <c r="P75" s="13"/>
    </row>
    <row r="76">
      <c r="A76" s="13"/>
      <c r="B76" s="13"/>
      <c r="C76" s="13"/>
      <c r="D76" s="13"/>
      <c r="E76" s="13"/>
      <c r="F76" s="13"/>
      <c r="G76" s="23"/>
      <c r="H76" s="23"/>
      <c r="I76" s="13"/>
      <c r="J76" s="31"/>
      <c r="K76" s="13"/>
      <c r="L76" s="31"/>
      <c r="M76" s="13"/>
      <c r="N76" s="13"/>
      <c r="O76" s="23"/>
      <c r="P76" s="13"/>
    </row>
    <row r="77">
      <c r="A77" s="13"/>
      <c r="B77" s="13"/>
      <c r="C77" s="13"/>
      <c r="D77" s="13"/>
      <c r="E77" s="13"/>
      <c r="F77" s="13"/>
      <c r="G77" s="23"/>
      <c r="H77" s="23"/>
      <c r="I77" s="13"/>
      <c r="J77" s="31"/>
      <c r="K77" s="13"/>
      <c r="L77" s="31"/>
      <c r="M77" s="13"/>
      <c r="N77" s="13"/>
      <c r="O77" s="23"/>
      <c r="P77" s="13"/>
    </row>
    <row r="78">
      <c r="A78" s="13"/>
      <c r="B78" s="13"/>
      <c r="C78" s="13"/>
      <c r="D78" s="13"/>
      <c r="E78" s="13"/>
      <c r="F78" s="13"/>
      <c r="G78" s="23"/>
      <c r="H78" s="23"/>
      <c r="I78" s="13"/>
      <c r="J78" s="31"/>
      <c r="K78" s="13"/>
      <c r="L78" s="31"/>
      <c r="M78" s="13"/>
      <c r="N78" s="13"/>
      <c r="O78" s="23"/>
      <c r="P78" s="13"/>
    </row>
    <row r="79">
      <c r="A79" s="13"/>
      <c r="B79" s="13"/>
      <c r="C79" s="13"/>
      <c r="D79" s="13"/>
      <c r="E79" s="13"/>
      <c r="F79" s="13"/>
      <c r="G79" s="23"/>
      <c r="H79" s="23"/>
      <c r="I79" s="13"/>
      <c r="J79" s="31"/>
      <c r="K79" s="13"/>
      <c r="L79" s="31"/>
      <c r="M79" s="13"/>
      <c r="N79" s="13"/>
      <c r="O79" s="23"/>
      <c r="P79" s="13"/>
    </row>
    <row r="80">
      <c r="A80" s="13"/>
      <c r="B80" s="13"/>
      <c r="C80" s="13"/>
      <c r="D80" s="13"/>
      <c r="E80" s="13"/>
      <c r="F80" s="13"/>
      <c r="G80" s="23"/>
      <c r="H80" s="23"/>
      <c r="I80" s="13"/>
      <c r="J80" s="31"/>
      <c r="K80" s="13"/>
      <c r="L80" s="31"/>
      <c r="M80" s="13"/>
      <c r="N80" s="13"/>
      <c r="O80" s="23"/>
      <c r="P80" s="13"/>
    </row>
    <row r="81">
      <c r="A81" s="13"/>
      <c r="B81" s="13"/>
      <c r="C81" s="13"/>
      <c r="D81" s="13"/>
      <c r="E81" s="13"/>
      <c r="F81" s="13"/>
      <c r="G81" s="23"/>
      <c r="H81" s="23"/>
      <c r="I81" s="13"/>
      <c r="J81" s="31"/>
      <c r="K81" s="13"/>
      <c r="L81" s="31"/>
      <c r="M81" s="13"/>
      <c r="N81" s="13"/>
      <c r="O81" s="23"/>
      <c r="P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23"/>
      <c r="P82" s="13"/>
    </row>
    <row r="83">
      <c r="A83" s="13"/>
      <c r="B83" s="13"/>
      <c r="C83" s="13"/>
      <c r="D83" s="13"/>
      <c r="E83" s="13"/>
      <c r="F83" s="13"/>
      <c r="G83" s="23"/>
      <c r="H83" s="23"/>
      <c r="I83" s="13"/>
      <c r="J83" s="31"/>
      <c r="K83" s="13"/>
      <c r="L83" s="31"/>
      <c r="M83" s="13"/>
      <c r="N83" s="13"/>
      <c r="O83" s="23"/>
      <c r="P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23"/>
      <c r="P84" s="13"/>
    </row>
    <row r="85">
      <c r="A85" s="13"/>
      <c r="B85" s="13"/>
      <c r="C85" s="13"/>
      <c r="D85" s="13"/>
      <c r="E85" s="13"/>
      <c r="F85" s="13"/>
      <c r="G85" s="23"/>
      <c r="H85" s="23"/>
      <c r="I85" s="13"/>
      <c r="J85" s="31"/>
      <c r="K85" s="13"/>
      <c r="L85" s="31"/>
      <c r="M85" s="13"/>
      <c r="N85" s="13"/>
      <c r="O85" s="23"/>
      <c r="P85" s="13"/>
    </row>
    <row r="86">
      <c r="A86" s="13"/>
      <c r="B86" s="13"/>
      <c r="C86" s="13"/>
      <c r="D86" s="13"/>
      <c r="E86" s="13"/>
      <c r="F86" s="13"/>
      <c r="G86" s="23"/>
      <c r="H86" s="23"/>
      <c r="I86" s="13"/>
      <c r="J86" s="31"/>
      <c r="K86" s="13"/>
      <c r="L86" s="31"/>
      <c r="M86" s="13"/>
      <c r="N86" s="13"/>
      <c r="O86" s="23"/>
      <c r="P86" s="13"/>
    </row>
    <row r="87">
      <c r="A87" s="13"/>
      <c r="B87" s="13"/>
      <c r="C87" s="13"/>
      <c r="D87" s="13"/>
      <c r="E87" s="13"/>
      <c r="F87" s="13"/>
      <c r="G87" s="23"/>
      <c r="H87" s="23"/>
      <c r="I87" s="13"/>
      <c r="J87" s="31"/>
      <c r="K87" s="13"/>
      <c r="L87" s="31"/>
      <c r="M87" s="13"/>
      <c r="N87" s="13"/>
      <c r="O87" s="23"/>
      <c r="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23"/>
      <c r="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3"/>
      <c r="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3"/>
      <c r="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23"/>
      <c r="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23"/>
      <c r="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3"/>
      <c r="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23"/>
      <c r="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23"/>
      <c r="P95" s="13"/>
    </row>
    <row r="96">
      <c r="A96" s="13"/>
      <c r="B96" s="13"/>
      <c r="C96" s="13"/>
      <c r="D96" s="13"/>
      <c r="E96" s="13"/>
      <c r="F96" s="13"/>
      <c r="G96" s="23"/>
      <c r="H96" s="23"/>
      <c r="I96" s="13"/>
      <c r="J96" s="31"/>
      <c r="K96" s="13"/>
      <c r="L96" s="31"/>
      <c r="M96" s="13"/>
      <c r="N96" s="13"/>
      <c r="O96" s="23"/>
      <c r="P96" s="13"/>
    </row>
    <row r="97">
      <c r="A97" s="13"/>
      <c r="B97" s="13"/>
      <c r="C97" s="13"/>
      <c r="D97" s="13"/>
      <c r="E97" s="13"/>
      <c r="F97" s="13"/>
      <c r="G97" s="23"/>
      <c r="H97" s="23"/>
      <c r="I97" s="13"/>
      <c r="J97" s="31"/>
      <c r="K97" s="13"/>
      <c r="L97" s="31"/>
      <c r="M97" s="13"/>
      <c r="N97" s="13"/>
      <c r="O97" s="23"/>
      <c r="P97" s="13"/>
    </row>
    <row r="98">
      <c r="A98" s="13"/>
      <c r="B98" s="13"/>
      <c r="C98" s="13"/>
      <c r="D98" s="13"/>
      <c r="E98" s="13"/>
      <c r="F98" s="13"/>
      <c r="G98" s="23"/>
      <c r="H98" s="23"/>
      <c r="I98" s="13"/>
      <c r="J98" s="31"/>
      <c r="K98" s="13"/>
      <c r="L98" s="31"/>
      <c r="M98" s="13"/>
      <c r="N98" s="13"/>
      <c r="O98" s="23"/>
      <c r="P98" s="13"/>
    </row>
    <row r="99">
      <c r="A99" s="13"/>
      <c r="B99" s="13"/>
      <c r="C99" s="13"/>
      <c r="D99" s="13"/>
      <c r="E99" s="13"/>
      <c r="F99" s="13"/>
      <c r="G99" s="23"/>
      <c r="H99" s="23"/>
      <c r="I99" s="13"/>
      <c r="J99" s="31"/>
      <c r="K99" s="13"/>
      <c r="L99" s="31"/>
      <c r="M99" s="13"/>
      <c r="N99" s="13"/>
      <c r="O99" s="23"/>
      <c r="P99" s="13"/>
    </row>
    <row r="100">
      <c r="A100" s="13"/>
      <c r="B100" s="13"/>
      <c r="C100" s="13"/>
      <c r="D100" s="13"/>
      <c r="E100" s="13"/>
      <c r="F100" s="13"/>
      <c r="G100" s="23"/>
      <c r="H100" s="23"/>
      <c r="I100" s="13"/>
      <c r="J100" s="31"/>
      <c r="K100" s="13"/>
      <c r="L100" s="31"/>
      <c r="M100" s="13"/>
      <c r="N100" s="13"/>
      <c r="O100" s="23"/>
      <c r="P100" s="13"/>
    </row>
    <row r="101">
      <c r="A101" s="13"/>
      <c r="B101" s="13"/>
      <c r="C101" s="13"/>
      <c r="D101" s="13"/>
      <c r="E101" s="13"/>
      <c r="F101" s="13"/>
      <c r="G101" s="23"/>
      <c r="H101" s="23"/>
      <c r="I101" s="13"/>
      <c r="J101" s="31"/>
      <c r="K101" s="13"/>
      <c r="L101" s="31"/>
      <c r="M101" s="13"/>
      <c r="N101" s="13"/>
      <c r="O101" s="23"/>
      <c r="P101" s="13"/>
    </row>
    <row r="102">
      <c r="A102" s="13"/>
      <c r="B102" s="13"/>
      <c r="C102" s="13"/>
      <c r="D102" s="13"/>
      <c r="E102" s="13"/>
      <c r="F102" s="13"/>
      <c r="G102" s="23"/>
      <c r="H102" s="23"/>
      <c r="I102" s="13"/>
      <c r="J102" s="31"/>
      <c r="K102" s="13"/>
      <c r="L102" s="31"/>
      <c r="M102" s="13"/>
      <c r="N102" s="13"/>
      <c r="O102" s="23"/>
      <c r="P102" s="13"/>
    </row>
    <row r="103">
      <c r="A103" s="13"/>
      <c r="B103" s="13"/>
      <c r="C103" s="13"/>
      <c r="D103" s="13"/>
      <c r="E103" s="13"/>
      <c r="F103" s="13"/>
      <c r="G103" s="23"/>
      <c r="H103" s="23"/>
      <c r="I103" s="13"/>
      <c r="J103" s="31"/>
      <c r="K103" s="13"/>
      <c r="L103" s="31"/>
      <c r="M103" s="13"/>
      <c r="N103" s="13"/>
      <c r="O103" s="23"/>
      <c r="P103" s="13"/>
    </row>
    <row r="104">
      <c r="A104" s="13"/>
      <c r="B104" s="13"/>
      <c r="C104" s="13"/>
      <c r="D104" s="13"/>
      <c r="E104" s="13"/>
      <c r="F104" s="13"/>
      <c r="G104" s="23"/>
      <c r="H104" s="23"/>
      <c r="I104" s="13"/>
      <c r="J104" s="31"/>
      <c r="K104" s="13"/>
      <c r="L104" s="31"/>
      <c r="M104" s="13"/>
      <c r="N104" s="13"/>
      <c r="O104" s="23"/>
      <c r="P104" s="13"/>
    </row>
    <row r="105">
      <c r="A105" s="13"/>
      <c r="B105" s="13"/>
      <c r="C105" s="13"/>
      <c r="D105" s="13"/>
      <c r="E105" s="13"/>
      <c r="F105" s="13"/>
      <c r="G105" s="23"/>
      <c r="H105" s="23"/>
      <c r="I105" s="13"/>
      <c r="J105" s="31"/>
      <c r="K105" s="13"/>
      <c r="L105" s="31"/>
      <c r="M105" s="13"/>
      <c r="N105" s="13"/>
      <c r="O105" s="23"/>
      <c r="P105" s="13"/>
    </row>
    <row r="106">
      <c r="A106" s="13"/>
      <c r="B106" s="13"/>
      <c r="C106" s="13"/>
      <c r="D106" s="13"/>
      <c r="E106" s="13"/>
      <c r="F106" s="13"/>
      <c r="G106" s="23"/>
      <c r="H106" s="23"/>
      <c r="I106" s="13"/>
      <c r="J106" s="31"/>
      <c r="K106" s="13"/>
      <c r="L106" s="31"/>
      <c r="M106" s="13"/>
      <c r="N106" s="13"/>
      <c r="O106" s="23"/>
      <c r="P106" s="13"/>
    </row>
    <row r="107">
      <c r="A107" s="13"/>
      <c r="B107" s="13"/>
      <c r="C107" s="13"/>
      <c r="D107" s="13"/>
      <c r="E107" s="13"/>
      <c r="F107" s="13"/>
      <c r="G107" s="23"/>
      <c r="H107" s="23"/>
      <c r="I107" s="13"/>
      <c r="J107" s="31"/>
      <c r="K107" s="13"/>
      <c r="L107" s="31"/>
      <c r="M107" s="13"/>
      <c r="N107" s="13"/>
      <c r="O107" s="23"/>
      <c r="P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23"/>
      <c r="P108" s="13"/>
    </row>
    <row r="109">
      <c r="A109" s="13"/>
      <c r="B109" s="13"/>
      <c r="C109" s="13"/>
      <c r="D109" s="13"/>
      <c r="E109" s="13"/>
      <c r="F109" s="13"/>
      <c r="G109" s="23"/>
      <c r="H109" s="23"/>
      <c r="I109" s="13"/>
      <c r="J109" s="31"/>
      <c r="K109" s="13"/>
      <c r="L109" s="31"/>
      <c r="M109" s="13"/>
      <c r="N109" s="13"/>
      <c r="O109" s="23"/>
      <c r="P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23"/>
      <c r="P110" s="13"/>
    </row>
    <row r="111">
      <c r="A111" s="13"/>
      <c r="B111" s="13"/>
      <c r="C111" s="13"/>
      <c r="D111" s="13"/>
      <c r="E111" s="13"/>
      <c r="F111" s="13"/>
      <c r="G111" s="23"/>
      <c r="H111" s="23"/>
      <c r="I111" s="13"/>
      <c r="J111" s="31"/>
      <c r="K111" s="13"/>
      <c r="L111" s="31"/>
      <c r="M111" s="13"/>
      <c r="N111" s="13"/>
      <c r="O111" s="23"/>
      <c r="P111" s="13"/>
    </row>
    <row r="112">
      <c r="A112" s="13"/>
      <c r="B112" s="13"/>
      <c r="C112" s="13"/>
      <c r="D112" s="13"/>
      <c r="E112" s="13"/>
      <c r="F112" s="13"/>
      <c r="G112" s="23"/>
      <c r="H112" s="23"/>
      <c r="I112" s="13"/>
      <c r="J112" s="31"/>
      <c r="K112" s="13"/>
      <c r="L112" s="31"/>
      <c r="M112" s="13"/>
      <c r="N112" s="13"/>
      <c r="O112" s="23"/>
      <c r="P112" s="13"/>
    </row>
    <row r="113">
      <c r="A113" s="13"/>
      <c r="B113" s="13"/>
      <c r="C113" s="13"/>
      <c r="D113" s="13"/>
      <c r="E113" s="13"/>
      <c r="F113" s="13"/>
      <c r="G113" s="23"/>
      <c r="H113" s="23"/>
      <c r="I113" s="13"/>
      <c r="J113" s="31"/>
      <c r="K113" s="13"/>
      <c r="L113" s="31"/>
      <c r="M113" s="13"/>
      <c r="N113" s="13"/>
      <c r="O113" s="23"/>
      <c r="P113" s="13"/>
    </row>
    <row r="114">
      <c r="A114" s="62"/>
      <c r="B114" s="62"/>
      <c r="C114" s="62"/>
      <c r="D114" s="63"/>
      <c r="E114" s="62"/>
      <c r="F114" s="63"/>
      <c r="G114" s="62"/>
      <c r="H114" s="63"/>
      <c r="I114" s="62"/>
      <c r="J114" s="63"/>
      <c r="K114" s="62"/>
      <c r="L114" s="63"/>
      <c r="M114" s="63"/>
      <c r="N114" s="63"/>
      <c r="O114" s="63"/>
      <c r="P114" s="62"/>
    </row>
    <row r="115">
      <c r="A115" s="64"/>
      <c r="B115" s="64"/>
      <c r="C115" s="64"/>
      <c r="D115" s="65"/>
      <c r="E115" s="64"/>
      <c r="F115" s="65"/>
      <c r="G115" s="64"/>
      <c r="H115" s="65"/>
      <c r="I115" s="64"/>
      <c r="J115" s="65"/>
      <c r="K115" s="64"/>
      <c r="L115" s="65"/>
      <c r="M115" s="65"/>
      <c r="N115" s="65"/>
      <c r="O115" s="65"/>
      <c r="P115" s="64"/>
    </row>
    <row r="116">
      <c r="A116" s="62"/>
      <c r="B116" s="62"/>
      <c r="C116" s="62"/>
      <c r="D116" s="66"/>
      <c r="E116" s="62"/>
      <c r="F116" s="66"/>
      <c r="G116" s="62"/>
      <c r="H116" s="66"/>
      <c r="I116" s="62"/>
      <c r="J116" s="66"/>
      <c r="K116" s="62"/>
      <c r="L116" s="66"/>
      <c r="M116" s="66"/>
      <c r="N116" s="66"/>
      <c r="O116" s="66"/>
      <c r="P116" s="62"/>
    </row>
    <row r="117">
      <c r="A117" s="64"/>
      <c r="B117" s="64"/>
      <c r="C117" s="64"/>
      <c r="D117" s="65"/>
      <c r="E117" s="64"/>
      <c r="F117" s="65"/>
      <c r="G117" s="64"/>
      <c r="H117" s="65"/>
      <c r="I117" s="64"/>
      <c r="J117" s="65"/>
      <c r="K117" s="64"/>
      <c r="L117" s="65"/>
      <c r="M117" s="65"/>
      <c r="N117" s="65"/>
      <c r="O117" s="65"/>
      <c r="P117" s="64"/>
    </row>
    <row r="118">
      <c r="A118" s="62"/>
      <c r="B118" s="62"/>
      <c r="C118" s="62"/>
      <c r="D118" s="66"/>
      <c r="E118" s="62"/>
      <c r="F118" s="66"/>
      <c r="G118" s="62"/>
      <c r="H118" s="66"/>
      <c r="I118" s="62"/>
      <c r="J118" s="66"/>
      <c r="K118" s="62"/>
      <c r="L118" s="66"/>
      <c r="M118" s="66"/>
      <c r="N118" s="66"/>
      <c r="O118" s="66"/>
      <c r="P118" s="62"/>
    </row>
    <row r="119">
      <c r="A119" s="64"/>
      <c r="B119" s="64"/>
      <c r="C119" s="64"/>
      <c r="D119" s="65"/>
      <c r="E119" s="64"/>
      <c r="F119" s="65"/>
      <c r="G119" s="64"/>
      <c r="H119" s="65"/>
      <c r="I119" s="64"/>
      <c r="J119" s="65"/>
      <c r="K119" s="64"/>
      <c r="L119" s="65"/>
      <c r="M119" s="65"/>
      <c r="N119" s="65"/>
      <c r="O119" s="65"/>
      <c r="P119" s="64"/>
    </row>
    <row r="120">
      <c r="A120" s="62"/>
      <c r="B120" s="62"/>
      <c r="C120" s="62"/>
      <c r="D120" s="66"/>
      <c r="E120" s="62"/>
      <c r="F120" s="66"/>
      <c r="G120" s="62"/>
      <c r="H120" s="66"/>
      <c r="I120" s="62"/>
      <c r="J120" s="66"/>
      <c r="K120" s="62"/>
      <c r="L120" s="66"/>
      <c r="M120" s="66"/>
      <c r="N120" s="66"/>
      <c r="O120" s="66"/>
      <c r="P120" s="62"/>
    </row>
    <row r="121">
      <c r="A121" s="64"/>
      <c r="B121" s="64"/>
      <c r="C121" s="64"/>
      <c r="D121" s="65"/>
      <c r="E121" s="64"/>
      <c r="F121" s="65"/>
      <c r="G121" s="64"/>
      <c r="H121" s="65"/>
      <c r="I121" s="64"/>
      <c r="J121" s="65"/>
      <c r="K121" s="64"/>
      <c r="L121" s="65"/>
      <c r="M121" s="65"/>
      <c r="N121" s="65"/>
      <c r="O121" s="65"/>
      <c r="P121" s="64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6.0"/>
    <col customWidth="1" min="3" max="3" width="14.38"/>
    <col customWidth="1" min="4" max="4" width="14.5"/>
    <col customWidth="1" min="5" max="5" width="11.5"/>
    <col customWidth="1" min="6" max="6" width="13.88"/>
    <col customWidth="1" min="7" max="7" width="37.5"/>
    <col customWidth="1" min="8" max="8" width="9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5" t="s">
        <v>13</v>
      </c>
      <c r="H1" s="5" t="s">
        <v>19</v>
      </c>
    </row>
    <row r="2">
      <c r="A2" s="7" t="s">
        <v>23</v>
      </c>
      <c r="B2" s="7" t="s">
        <v>26</v>
      </c>
      <c r="C2" s="7" t="s">
        <v>28</v>
      </c>
      <c r="D2" s="7" t="s">
        <v>30</v>
      </c>
      <c r="E2" s="7" t="s">
        <v>32</v>
      </c>
      <c r="F2" s="11"/>
      <c r="G2" s="12"/>
      <c r="H2" s="15" t="s">
        <v>44</v>
      </c>
    </row>
    <row r="3">
      <c r="A3" s="7" t="s">
        <v>23</v>
      </c>
      <c r="B3" s="7" t="s">
        <v>40</v>
      </c>
      <c r="C3" s="7" t="s">
        <v>45</v>
      </c>
      <c r="D3" s="7" t="s">
        <v>30</v>
      </c>
      <c r="E3" s="18" t="s">
        <v>32</v>
      </c>
      <c r="F3" s="11"/>
      <c r="G3" s="12"/>
      <c r="H3" s="15" t="s">
        <v>57</v>
      </c>
    </row>
    <row r="4">
      <c r="A4" s="7" t="s">
        <v>23</v>
      </c>
      <c r="B4" s="7" t="s">
        <v>60</v>
      </c>
      <c r="C4" s="7" t="s">
        <v>45</v>
      </c>
      <c r="D4" s="7" t="s">
        <v>30</v>
      </c>
      <c r="E4" s="18" t="s">
        <v>32</v>
      </c>
      <c r="F4" s="11"/>
      <c r="G4" s="12"/>
      <c r="H4" s="15" t="s">
        <v>61</v>
      </c>
    </row>
    <row r="5">
      <c r="A5" s="7" t="s">
        <v>23</v>
      </c>
      <c r="B5" s="7" t="s">
        <v>64</v>
      </c>
      <c r="C5" s="7" t="s">
        <v>45</v>
      </c>
      <c r="D5" s="7" t="s">
        <v>30</v>
      </c>
      <c r="E5" s="18" t="s">
        <v>32</v>
      </c>
      <c r="F5" s="11"/>
      <c r="G5" s="12"/>
      <c r="H5" s="15" t="s">
        <v>65</v>
      </c>
    </row>
    <row r="6">
      <c r="A6" s="7" t="s">
        <v>23</v>
      </c>
      <c r="B6" s="7" t="s">
        <v>66</v>
      </c>
      <c r="C6" s="7" t="s">
        <v>45</v>
      </c>
      <c r="D6" s="7" t="s">
        <v>30</v>
      </c>
      <c r="E6" s="18" t="s">
        <v>32</v>
      </c>
      <c r="F6" s="11"/>
      <c r="G6" s="12"/>
      <c r="H6" s="15" t="s">
        <v>67</v>
      </c>
    </row>
    <row r="7">
      <c r="A7" s="7" t="s">
        <v>23</v>
      </c>
      <c r="B7" s="7" t="s">
        <v>68</v>
      </c>
      <c r="C7" s="7" t="s">
        <v>45</v>
      </c>
      <c r="D7" s="7" t="s">
        <v>30</v>
      </c>
      <c r="E7" s="18" t="s">
        <v>32</v>
      </c>
      <c r="F7" s="11"/>
      <c r="G7" s="12"/>
      <c r="H7" s="15" t="s">
        <v>69</v>
      </c>
    </row>
    <row r="8">
      <c r="A8" s="7" t="s">
        <v>23</v>
      </c>
      <c r="B8" s="7" t="s">
        <v>70</v>
      </c>
      <c r="C8" s="7" t="s">
        <v>45</v>
      </c>
      <c r="D8" s="7" t="s">
        <v>30</v>
      </c>
      <c r="E8" s="18" t="s">
        <v>32</v>
      </c>
      <c r="F8" s="11"/>
      <c r="G8" s="12"/>
      <c r="H8" s="15" t="s">
        <v>72</v>
      </c>
    </row>
    <row r="9">
      <c r="A9" s="7" t="s">
        <v>23</v>
      </c>
      <c r="B9" s="7" t="s">
        <v>73</v>
      </c>
      <c r="C9" s="7" t="s">
        <v>74</v>
      </c>
      <c r="D9" s="7" t="s">
        <v>30</v>
      </c>
      <c r="E9" s="7" t="s">
        <v>32</v>
      </c>
      <c r="F9" s="24"/>
      <c r="G9" s="12"/>
      <c r="H9" s="15" t="s">
        <v>78</v>
      </c>
    </row>
    <row r="10">
      <c r="A10" s="7" t="s">
        <v>23</v>
      </c>
      <c r="B10" s="7" t="s">
        <v>79</v>
      </c>
      <c r="C10" s="7" t="s">
        <v>80</v>
      </c>
      <c r="D10" s="7" t="s">
        <v>30</v>
      </c>
      <c r="E10" s="7" t="s">
        <v>32</v>
      </c>
      <c r="F10" s="24"/>
      <c r="G10" s="12"/>
      <c r="H10" s="15" t="s">
        <v>81</v>
      </c>
    </row>
    <row r="11">
      <c r="A11" s="7" t="s">
        <v>23</v>
      </c>
      <c r="B11" s="7" t="s">
        <v>82</v>
      </c>
      <c r="C11" s="7" t="s">
        <v>45</v>
      </c>
      <c r="D11" s="7" t="s">
        <v>30</v>
      </c>
      <c r="E11" s="18" t="s">
        <v>32</v>
      </c>
      <c r="F11" s="27"/>
      <c r="G11" s="12"/>
      <c r="H11" s="15" t="s">
        <v>85</v>
      </c>
    </row>
    <row r="12">
      <c r="A12" s="7" t="s">
        <v>23</v>
      </c>
      <c r="B12" s="7" t="s">
        <v>87</v>
      </c>
      <c r="C12" s="7" t="s">
        <v>45</v>
      </c>
      <c r="D12" s="7" t="s">
        <v>30</v>
      </c>
      <c r="E12" s="18" t="s">
        <v>32</v>
      </c>
      <c r="F12" s="27"/>
      <c r="G12" s="12"/>
      <c r="H12" s="15" t="s">
        <v>88</v>
      </c>
    </row>
    <row r="13">
      <c r="A13" s="7" t="s">
        <v>23</v>
      </c>
      <c r="B13" s="29" t="s">
        <v>89</v>
      </c>
      <c r="C13" s="7" t="s">
        <v>91</v>
      </c>
      <c r="D13" s="7" t="s">
        <v>30</v>
      </c>
      <c r="E13" s="7" t="s">
        <v>32</v>
      </c>
      <c r="F13" s="27"/>
      <c r="G13" s="12"/>
      <c r="H13" s="15" t="s">
        <v>94</v>
      </c>
    </row>
    <row r="14">
      <c r="A14" s="7" t="s">
        <v>23</v>
      </c>
      <c r="B14" s="7" t="s">
        <v>48</v>
      </c>
      <c r="C14" s="7" t="s">
        <v>91</v>
      </c>
      <c r="D14" s="7" t="s">
        <v>30</v>
      </c>
      <c r="E14" s="7" t="s">
        <v>32</v>
      </c>
      <c r="F14" s="27"/>
      <c r="G14" s="12"/>
      <c r="H14" s="15" t="s">
        <v>98</v>
      </c>
    </row>
    <row r="15">
      <c r="A15" s="7" t="s">
        <v>23</v>
      </c>
      <c r="B15" s="7" t="s">
        <v>99</v>
      </c>
      <c r="C15" s="7" t="s">
        <v>91</v>
      </c>
      <c r="D15" s="7" t="s">
        <v>30</v>
      </c>
      <c r="E15" s="7" t="s">
        <v>32</v>
      </c>
      <c r="F15" s="27"/>
      <c r="G15" s="12"/>
      <c r="H15" s="15" t="s">
        <v>102</v>
      </c>
    </row>
    <row r="16">
      <c r="A16" s="7" t="s">
        <v>23</v>
      </c>
      <c r="B16" s="7" t="s">
        <v>50</v>
      </c>
      <c r="C16" s="7" t="s">
        <v>91</v>
      </c>
      <c r="D16" s="7" t="s">
        <v>30</v>
      </c>
      <c r="E16" s="7" t="s">
        <v>32</v>
      </c>
      <c r="F16" s="27"/>
      <c r="G16" s="12"/>
      <c r="H16" s="15" t="s">
        <v>98</v>
      </c>
    </row>
    <row r="17">
      <c r="A17" s="7" t="s">
        <v>23</v>
      </c>
      <c r="B17" s="7" t="s">
        <v>107</v>
      </c>
      <c r="C17" s="7" t="s">
        <v>108</v>
      </c>
      <c r="D17" s="7" t="s">
        <v>30</v>
      </c>
      <c r="E17" s="7" t="s">
        <v>32</v>
      </c>
      <c r="F17" s="27"/>
      <c r="G17" s="12"/>
      <c r="H17" s="15" t="s">
        <v>109</v>
      </c>
    </row>
    <row r="18">
      <c r="A18" s="7" t="s">
        <v>23</v>
      </c>
      <c r="B18" s="7" t="s">
        <v>111</v>
      </c>
      <c r="C18" s="7" t="s">
        <v>80</v>
      </c>
      <c r="D18" s="7" t="s">
        <v>30</v>
      </c>
      <c r="E18" s="7" t="s">
        <v>32</v>
      </c>
      <c r="F18" s="27"/>
      <c r="G18" s="12"/>
      <c r="H18" s="15" t="s">
        <v>115</v>
      </c>
    </row>
    <row r="19">
      <c r="A19" s="7" t="s">
        <v>23</v>
      </c>
      <c r="B19" s="7" t="s">
        <v>118</v>
      </c>
      <c r="C19" s="7" t="s">
        <v>74</v>
      </c>
      <c r="D19" s="7" t="s">
        <v>30</v>
      </c>
      <c r="E19" s="7" t="s">
        <v>32</v>
      </c>
      <c r="F19" s="27"/>
      <c r="G19" s="12"/>
      <c r="H19" s="15" t="s">
        <v>120</v>
      </c>
    </row>
    <row r="20">
      <c r="A20" s="7" t="s">
        <v>23</v>
      </c>
      <c r="B20" s="7" t="s">
        <v>77</v>
      </c>
      <c r="C20" s="7" t="s">
        <v>91</v>
      </c>
      <c r="D20" s="7" t="s">
        <v>30</v>
      </c>
      <c r="E20" s="7" t="s">
        <v>32</v>
      </c>
      <c r="F20" s="27"/>
      <c r="G20" s="12"/>
      <c r="H20" s="15" t="s">
        <v>98</v>
      </c>
    </row>
    <row r="21">
      <c r="A21" s="7" t="s">
        <v>23</v>
      </c>
      <c r="B21" s="7" t="s">
        <v>125</v>
      </c>
      <c r="C21" s="7" t="s">
        <v>28</v>
      </c>
      <c r="D21" s="7" t="s">
        <v>30</v>
      </c>
      <c r="E21" s="7" t="s">
        <v>32</v>
      </c>
      <c r="F21" s="27"/>
      <c r="G21" s="12"/>
      <c r="H21" s="12"/>
    </row>
    <row r="22">
      <c r="A22" s="7" t="s">
        <v>23</v>
      </c>
      <c r="B22" s="7" t="s">
        <v>131</v>
      </c>
      <c r="C22" s="7" t="s">
        <v>132</v>
      </c>
      <c r="D22" s="7" t="s">
        <v>30</v>
      </c>
      <c r="E22" s="7" t="s">
        <v>32</v>
      </c>
      <c r="F22" s="27"/>
      <c r="G22" s="15" t="s">
        <v>134</v>
      </c>
      <c r="H22" s="15" t="s">
        <v>136</v>
      </c>
    </row>
    <row r="23">
      <c r="A23" s="7" t="s">
        <v>23</v>
      </c>
      <c r="B23" s="7" t="s">
        <v>137</v>
      </c>
      <c r="C23" s="7" t="s">
        <v>91</v>
      </c>
      <c r="D23" s="7" t="s">
        <v>30</v>
      </c>
      <c r="E23" s="7" t="s">
        <v>32</v>
      </c>
      <c r="F23" s="27"/>
      <c r="G23" s="12"/>
      <c r="H23" s="15" t="s">
        <v>139</v>
      </c>
    </row>
    <row r="24">
      <c r="A24" s="7" t="s">
        <v>23</v>
      </c>
      <c r="B24" s="7" t="s">
        <v>141</v>
      </c>
      <c r="C24" s="7" t="s">
        <v>142</v>
      </c>
      <c r="D24" s="7" t="s">
        <v>30</v>
      </c>
      <c r="E24" s="7" t="s">
        <v>32</v>
      </c>
      <c r="F24" s="27"/>
      <c r="G24" s="12"/>
      <c r="H24" s="15" t="s">
        <v>147</v>
      </c>
    </row>
    <row r="25">
      <c r="A25" s="7" t="s">
        <v>23</v>
      </c>
      <c r="B25" s="7" t="s">
        <v>151</v>
      </c>
      <c r="C25" s="7" t="s">
        <v>152</v>
      </c>
      <c r="D25" s="7" t="s">
        <v>30</v>
      </c>
      <c r="E25" s="7" t="s">
        <v>32</v>
      </c>
      <c r="F25" s="27"/>
      <c r="G25" s="15" t="s">
        <v>155</v>
      </c>
      <c r="H25" s="15" t="s">
        <v>157</v>
      </c>
    </row>
    <row r="26">
      <c r="A26" s="7" t="s">
        <v>23</v>
      </c>
      <c r="B26" s="7" t="s">
        <v>160</v>
      </c>
      <c r="C26" s="7" t="s">
        <v>122</v>
      </c>
      <c r="D26" s="7" t="s">
        <v>30</v>
      </c>
      <c r="E26" s="7" t="s">
        <v>32</v>
      </c>
      <c r="F26" s="27"/>
      <c r="G26" s="12"/>
      <c r="H26" s="12"/>
    </row>
    <row r="27">
      <c r="A27" s="7" t="s">
        <v>23</v>
      </c>
      <c r="B27" s="7" t="s">
        <v>158</v>
      </c>
      <c r="C27" s="7" t="s">
        <v>122</v>
      </c>
      <c r="D27" s="7" t="s">
        <v>30</v>
      </c>
      <c r="E27" s="7" t="s">
        <v>32</v>
      </c>
      <c r="F27" s="27"/>
      <c r="G27" s="12"/>
      <c r="H27" s="12"/>
    </row>
    <row r="28">
      <c r="A28" s="7" t="s">
        <v>23</v>
      </c>
      <c r="B28" s="7" t="s">
        <v>168</v>
      </c>
      <c r="C28" s="7" t="s">
        <v>169</v>
      </c>
      <c r="D28" s="7" t="s">
        <v>30</v>
      </c>
      <c r="E28" s="7" t="s">
        <v>32</v>
      </c>
      <c r="F28" s="27"/>
      <c r="G28" s="15" t="s">
        <v>170</v>
      </c>
      <c r="H28" s="15" t="s">
        <v>171</v>
      </c>
    </row>
    <row r="29">
      <c r="A29" s="7" t="s">
        <v>23</v>
      </c>
      <c r="B29" s="7" t="s">
        <v>175</v>
      </c>
      <c r="C29" s="7" t="s">
        <v>169</v>
      </c>
      <c r="D29" s="7" t="s">
        <v>30</v>
      </c>
      <c r="E29" s="7" t="s">
        <v>32</v>
      </c>
      <c r="F29" s="27"/>
      <c r="G29" s="12"/>
      <c r="H29" s="15" t="s">
        <v>179</v>
      </c>
    </row>
    <row r="30">
      <c r="A30" s="7" t="s">
        <v>23</v>
      </c>
      <c r="B30" s="7" t="s">
        <v>181</v>
      </c>
      <c r="C30" s="7" t="s">
        <v>169</v>
      </c>
      <c r="D30" s="7" t="s">
        <v>30</v>
      </c>
      <c r="E30" s="7" t="s">
        <v>32</v>
      </c>
      <c r="F30" s="27"/>
      <c r="G30" s="12"/>
      <c r="H30" s="12"/>
    </row>
    <row r="31">
      <c r="A31" s="7" t="s">
        <v>23</v>
      </c>
      <c r="B31" s="7" t="s">
        <v>182</v>
      </c>
      <c r="C31" s="7" t="s">
        <v>183</v>
      </c>
      <c r="D31" s="7" t="s">
        <v>30</v>
      </c>
      <c r="E31" s="7" t="s">
        <v>32</v>
      </c>
      <c r="F31" s="27"/>
      <c r="G31" s="12"/>
      <c r="H31" s="12"/>
    </row>
    <row r="32">
      <c r="A32" s="7" t="s">
        <v>49</v>
      </c>
      <c r="B32" s="7" t="s">
        <v>190</v>
      </c>
      <c r="C32" s="7" t="s">
        <v>74</v>
      </c>
      <c r="D32" s="7" t="s">
        <v>30</v>
      </c>
      <c r="E32" s="7" t="s">
        <v>32</v>
      </c>
      <c r="F32" s="33"/>
      <c r="G32" s="33"/>
      <c r="H32" s="7" t="s">
        <v>192</v>
      </c>
      <c r="I32" s="34"/>
      <c r="J32" s="34"/>
      <c r="K32" s="34"/>
    </row>
    <row r="33">
      <c r="A33" s="7" t="s">
        <v>49</v>
      </c>
      <c r="B33" s="7" t="s">
        <v>199</v>
      </c>
      <c r="C33" s="7" t="s">
        <v>200</v>
      </c>
      <c r="D33" s="7" t="s">
        <v>30</v>
      </c>
      <c r="E33" s="7" t="s">
        <v>32</v>
      </c>
      <c r="F33" s="33"/>
      <c r="G33" s="33"/>
      <c r="H33" s="33"/>
      <c r="I33" s="34"/>
      <c r="J33" s="34"/>
      <c r="K33" s="34"/>
    </row>
    <row r="34">
      <c r="A34" s="7" t="s">
        <v>49</v>
      </c>
      <c r="B34" s="7" t="s">
        <v>58</v>
      </c>
      <c r="C34" s="7" t="s">
        <v>28</v>
      </c>
      <c r="D34" s="7" t="s">
        <v>30</v>
      </c>
      <c r="E34" s="7" t="s">
        <v>32</v>
      </c>
      <c r="F34" s="33"/>
      <c r="G34" s="33"/>
      <c r="H34" s="33"/>
      <c r="I34" s="34"/>
      <c r="J34" s="34"/>
      <c r="K34" s="34"/>
    </row>
    <row r="35">
      <c r="A35" s="7" t="s">
        <v>49</v>
      </c>
      <c r="B35" s="7" t="s">
        <v>210</v>
      </c>
      <c r="C35" s="7" t="s">
        <v>74</v>
      </c>
      <c r="D35" s="7" t="s">
        <v>30</v>
      </c>
      <c r="E35" s="7" t="s">
        <v>32</v>
      </c>
      <c r="F35" s="33"/>
      <c r="G35" s="33"/>
      <c r="H35" s="7" t="s">
        <v>214</v>
      </c>
      <c r="I35" s="34"/>
      <c r="J35" s="34"/>
      <c r="K35" s="34"/>
    </row>
    <row r="36">
      <c r="A36" s="7" t="s">
        <v>49</v>
      </c>
      <c r="B36" s="7" t="s">
        <v>216</v>
      </c>
      <c r="C36" s="7" t="s">
        <v>74</v>
      </c>
      <c r="D36" s="7" t="s">
        <v>30</v>
      </c>
      <c r="E36" s="7" t="s">
        <v>32</v>
      </c>
      <c r="F36" s="33"/>
      <c r="G36" s="33"/>
      <c r="H36" s="33"/>
      <c r="I36" s="34"/>
      <c r="J36" s="34"/>
      <c r="K36" s="34"/>
    </row>
    <row r="37">
      <c r="A37" s="7" t="s">
        <v>49</v>
      </c>
      <c r="B37" s="7" t="s">
        <v>222</v>
      </c>
      <c r="C37" s="7" t="s">
        <v>28</v>
      </c>
      <c r="D37" s="7" t="s">
        <v>30</v>
      </c>
      <c r="E37" s="7" t="s">
        <v>32</v>
      </c>
      <c r="F37" s="33"/>
      <c r="G37" s="33"/>
      <c r="H37" s="33"/>
      <c r="I37" s="34"/>
      <c r="J37" s="34"/>
      <c r="K37" s="34"/>
    </row>
    <row r="38">
      <c r="A38" s="7" t="s">
        <v>49</v>
      </c>
      <c r="B38" s="7" t="s">
        <v>225</v>
      </c>
      <c r="C38" s="7" t="s">
        <v>74</v>
      </c>
      <c r="D38" s="7" t="s">
        <v>30</v>
      </c>
      <c r="E38" s="7" t="s">
        <v>32</v>
      </c>
      <c r="F38" s="33"/>
      <c r="G38" s="7"/>
      <c r="H38" s="33"/>
      <c r="I38" s="34"/>
      <c r="J38" s="34"/>
      <c r="K38" s="34"/>
    </row>
    <row r="39">
      <c r="A39" s="7" t="s">
        <v>49</v>
      </c>
      <c r="B39" s="7" t="s">
        <v>56</v>
      </c>
      <c r="C39" s="7" t="s">
        <v>28</v>
      </c>
      <c r="D39" s="7" t="s">
        <v>30</v>
      </c>
      <c r="E39" s="7" t="s">
        <v>32</v>
      </c>
      <c r="F39" s="33"/>
      <c r="G39" s="7"/>
      <c r="H39" s="33"/>
      <c r="I39" s="34"/>
      <c r="J39" s="34"/>
      <c r="K39" s="34"/>
      <c r="L39" s="34"/>
      <c r="M39" s="34"/>
      <c r="N39" s="34"/>
      <c r="O39" s="34"/>
      <c r="P39" s="34"/>
    </row>
    <row r="40">
      <c r="A40" s="7" t="s">
        <v>49</v>
      </c>
      <c r="B40" s="7" t="s">
        <v>99</v>
      </c>
      <c r="C40" s="7" t="s">
        <v>28</v>
      </c>
      <c r="D40" s="7" t="s">
        <v>30</v>
      </c>
      <c r="E40" s="7" t="s">
        <v>32</v>
      </c>
      <c r="F40" s="33"/>
      <c r="G40" s="33"/>
      <c r="H40" s="33"/>
      <c r="I40" s="34"/>
      <c r="J40" s="34"/>
      <c r="K40" s="34"/>
    </row>
    <row r="41">
      <c r="A41" s="7" t="s">
        <v>49</v>
      </c>
      <c r="B41" s="7" t="s">
        <v>59</v>
      </c>
      <c r="C41" s="7" t="s">
        <v>80</v>
      </c>
      <c r="D41" s="7" t="s">
        <v>30</v>
      </c>
      <c r="E41" s="7" t="s">
        <v>32</v>
      </c>
      <c r="F41" s="33"/>
      <c r="G41" s="33"/>
      <c r="H41" s="33"/>
      <c r="I41" s="34"/>
      <c r="J41" s="34"/>
      <c r="K41" s="34"/>
    </row>
    <row r="42">
      <c r="A42" s="7" t="s">
        <v>49</v>
      </c>
      <c r="B42" s="7" t="s">
        <v>242</v>
      </c>
      <c r="C42" s="7" t="s">
        <v>74</v>
      </c>
      <c r="D42" s="7" t="s">
        <v>30</v>
      </c>
      <c r="E42" s="7" t="s">
        <v>32</v>
      </c>
      <c r="F42" s="33"/>
      <c r="G42" s="33"/>
      <c r="H42" s="7" t="s">
        <v>78</v>
      </c>
      <c r="I42" s="34"/>
      <c r="J42" s="34"/>
      <c r="K42" s="34"/>
    </row>
    <row r="43">
      <c r="A43" s="7" t="s">
        <v>49</v>
      </c>
      <c r="B43" s="7" t="s">
        <v>135</v>
      </c>
      <c r="C43" s="7" t="s">
        <v>80</v>
      </c>
      <c r="D43" s="7" t="s">
        <v>30</v>
      </c>
      <c r="E43" s="7" t="s">
        <v>32</v>
      </c>
      <c r="F43" s="33"/>
      <c r="G43" s="33"/>
      <c r="H43" s="33"/>
      <c r="I43" s="34"/>
      <c r="J43" s="34"/>
      <c r="K43" s="34"/>
    </row>
    <row r="44">
      <c r="A44" s="7" t="s">
        <v>49</v>
      </c>
      <c r="B44" s="7" t="s">
        <v>247</v>
      </c>
      <c r="C44" s="7" t="s">
        <v>74</v>
      </c>
      <c r="D44" s="7" t="s">
        <v>30</v>
      </c>
      <c r="E44" s="7" t="s">
        <v>32</v>
      </c>
      <c r="F44" s="33"/>
      <c r="G44" s="33"/>
      <c r="H44" s="7" t="s">
        <v>120</v>
      </c>
      <c r="I44" s="34"/>
      <c r="J44" s="34"/>
      <c r="K44" s="34"/>
    </row>
    <row r="45">
      <c r="A45" s="7" t="s">
        <v>49</v>
      </c>
      <c r="B45" s="7" t="s">
        <v>224</v>
      </c>
      <c r="C45" s="7" t="s">
        <v>80</v>
      </c>
      <c r="D45" s="7" t="s">
        <v>30</v>
      </c>
      <c r="E45" s="7" t="s">
        <v>32</v>
      </c>
      <c r="F45" s="33"/>
      <c r="G45" s="33"/>
      <c r="H45" s="33"/>
      <c r="I45" s="34"/>
      <c r="J45" s="34"/>
      <c r="K45" s="34"/>
    </row>
    <row r="46">
      <c r="A46" s="7" t="s">
        <v>49</v>
      </c>
      <c r="B46" s="7" t="s">
        <v>254</v>
      </c>
      <c r="C46" s="7" t="s">
        <v>74</v>
      </c>
      <c r="D46" s="7" t="s">
        <v>30</v>
      </c>
      <c r="E46" s="7" t="s">
        <v>32</v>
      </c>
      <c r="F46" s="33"/>
      <c r="G46" s="33"/>
      <c r="H46" s="7" t="s">
        <v>120</v>
      </c>
      <c r="I46" s="34"/>
      <c r="J46" s="34"/>
      <c r="K46" s="34"/>
    </row>
    <row r="47">
      <c r="A47" s="7" t="s">
        <v>49</v>
      </c>
      <c r="B47" s="7" t="s">
        <v>202</v>
      </c>
      <c r="C47" s="7" t="s">
        <v>80</v>
      </c>
      <c r="D47" s="7" t="s">
        <v>30</v>
      </c>
      <c r="E47" s="7" t="s">
        <v>32</v>
      </c>
      <c r="F47" s="33"/>
      <c r="G47" s="33"/>
      <c r="H47" s="33"/>
      <c r="I47" s="34"/>
      <c r="J47" s="34"/>
      <c r="K47" s="34"/>
    </row>
    <row r="48">
      <c r="A48" s="7" t="s">
        <v>49</v>
      </c>
      <c r="B48" s="7" t="s">
        <v>258</v>
      </c>
      <c r="C48" s="7" t="s">
        <v>74</v>
      </c>
      <c r="D48" s="7" t="s">
        <v>30</v>
      </c>
      <c r="E48" s="7" t="s">
        <v>32</v>
      </c>
      <c r="F48" s="33"/>
      <c r="G48" s="33"/>
      <c r="H48" s="7" t="s">
        <v>261</v>
      </c>
      <c r="I48" s="34"/>
      <c r="J48" s="34"/>
      <c r="K48" s="34"/>
    </row>
    <row r="49">
      <c r="A49" s="7" t="s">
        <v>49</v>
      </c>
      <c r="B49" s="7" t="s">
        <v>187</v>
      </c>
      <c r="C49" s="7" t="s">
        <v>152</v>
      </c>
      <c r="D49" s="7" t="s">
        <v>30</v>
      </c>
      <c r="E49" s="7" t="s">
        <v>32</v>
      </c>
      <c r="F49" s="33"/>
      <c r="G49" s="33"/>
      <c r="H49" s="33"/>
      <c r="I49" s="34"/>
      <c r="J49" s="34"/>
      <c r="K49" s="34"/>
    </row>
    <row r="50">
      <c r="A50" s="7" t="s">
        <v>49</v>
      </c>
      <c r="B50" s="7" t="s">
        <v>176</v>
      </c>
      <c r="C50" s="7" t="s">
        <v>152</v>
      </c>
      <c r="D50" s="7" t="s">
        <v>30</v>
      </c>
      <c r="E50" s="7" t="s">
        <v>32</v>
      </c>
      <c r="F50" s="33"/>
      <c r="G50" s="33"/>
      <c r="H50" s="33"/>
      <c r="I50" s="34"/>
      <c r="J50" s="34"/>
      <c r="K50" s="34"/>
    </row>
    <row r="51">
      <c r="A51" s="7" t="s">
        <v>49</v>
      </c>
      <c r="B51" s="7" t="s">
        <v>156</v>
      </c>
      <c r="C51" s="7" t="s">
        <v>152</v>
      </c>
      <c r="D51" s="7" t="s">
        <v>30</v>
      </c>
      <c r="E51" s="7" t="s">
        <v>32</v>
      </c>
      <c r="F51" s="33"/>
      <c r="G51" s="33"/>
      <c r="H51" s="33"/>
      <c r="I51" s="34"/>
      <c r="J51" s="34"/>
      <c r="K51" s="34"/>
    </row>
    <row r="52">
      <c r="A52" s="7" t="s">
        <v>49</v>
      </c>
      <c r="B52" s="7" t="s">
        <v>267</v>
      </c>
      <c r="C52" s="7" t="s">
        <v>207</v>
      </c>
      <c r="D52" s="7" t="s">
        <v>268</v>
      </c>
      <c r="E52" s="45">
        <v>15.0</v>
      </c>
      <c r="F52" s="7" t="s">
        <v>244</v>
      </c>
      <c r="G52" s="7" t="s">
        <v>273</v>
      </c>
      <c r="H52" s="33"/>
      <c r="I52" s="34"/>
      <c r="J52" s="34"/>
      <c r="K52" s="34"/>
    </row>
    <row r="53">
      <c r="A53" s="7" t="s">
        <v>49</v>
      </c>
      <c r="B53" s="7" t="s">
        <v>244</v>
      </c>
      <c r="C53" s="7" t="s">
        <v>274</v>
      </c>
      <c r="D53" s="7" t="s">
        <v>30</v>
      </c>
      <c r="E53" s="7"/>
      <c r="F53" s="33"/>
      <c r="G53" s="33"/>
      <c r="H53" s="33"/>
      <c r="I53" s="34"/>
      <c r="J53" s="34"/>
      <c r="K53" s="34"/>
    </row>
    <row r="54">
      <c r="A54" s="7" t="s">
        <v>49</v>
      </c>
      <c r="B54" s="7" t="s">
        <v>243</v>
      </c>
      <c r="C54" s="7" t="s">
        <v>91</v>
      </c>
      <c r="D54" s="7" t="s">
        <v>30</v>
      </c>
      <c r="E54" s="7" t="s">
        <v>32</v>
      </c>
      <c r="F54" s="33"/>
      <c r="G54" s="33"/>
      <c r="H54" s="33"/>
      <c r="I54" s="34"/>
      <c r="J54" s="34"/>
      <c r="K54" s="34"/>
    </row>
    <row r="55">
      <c r="A55" s="7" t="s">
        <v>49</v>
      </c>
      <c r="B55" s="7" t="s">
        <v>197</v>
      </c>
      <c r="C55" s="7" t="s">
        <v>207</v>
      </c>
      <c r="D55" s="7" t="s">
        <v>30</v>
      </c>
      <c r="E55" s="7" t="s">
        <v>32</v>
      </c>
      <c r="F55" s="33"/>
      <c r="G55" s="33"/>
      <c r="H55" s="33"/>
      <c r="I55" s="34"/>
      <c r="J55" s="34"/>
      <c r="K55" s="34"/>
    </row>
    <row r="56">
      <c r="A56" s="7" t="s">
        <v>49</v>
      </c>
      <c r="B56" s="7" t="s">
        <v>191</v>
      </c>
      <c r="C56" s="7" t="s">
        <v>159</v>
      </c>
      <c r="D56" s="7" t="s">
        <v>30</v>
      </c>
      <c r="E56" s="7" t="s">
        <v>32</v>
      </c>
      <c r="F56" s="33"/>
      <c r="G56" s="33"/>
      <c r="H56" s="33"/>
      <c r="I56" s="34"/>
      <c r="J56" s="34"/>
      <c r="K56" s="34"/>
    </row>
    <row r="57">
      <c r="A57" s="7" t="s">
        <v>49</v>
      </c>
      <c r="B57" s="7" t="s">
        <v>262</v>
      </c>
      <c r="C57" s="7" t="s">
        <v>207</v>
      </c>
      <c r="D57" s="7" t="s">
        <v>30</v>
      </c>
      <c r="E57" s="7" t="s">
        <v>32</v>
      </c>
      <c r="F57" s="33"/>
      <c r="G57" s="7"/>
      <c r="H57" s="33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</row>
    <row r="58">
      <c r="A58" s="7" t="s">
        <v>49</v>
      </c>
      <c r="B58" s="7" t="s">
        <v>249</v>
      </c>
      <c r="C58" s="7" t="s">
        <v>227</v>
      </c>
      <c r="D58" s="7" t="s">
        <v>30</v>
      </c>
      <c r="E58" s="7" t="s">
        <v>32</v>
      </c>
      <c r="F58" s="33"/>
      <c r="G58" s="33"/>
      <c r="H58" s="33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>
      <c r="A59" s="7" t="s">
        <v>49</v>
      </c>
      <c r="B59" s="7" t="s">
        <v>84</v>
      </c>
      <c r="C59" s="7" t="s">
        <v>198</v>
      </c>
      <c r="D59" s="7" t="s">
        <v>30</v>
      </c>
      <c r="E59" s="7" t="s">
        <v>32</v>
      </c>
      <c r="F59" s="33"/>
      <c r="G59" s="33"/>
      <c r="H59" s="33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>
      <c r="A60" s="7" t="s">
        <v>49</v>
      </c>
      <c r="B60" s="7" t="s">
        <v>256</v>
      </c>
      <c r="C60" s="7" t="s">
        <v>227</v>
      </c>
      <c r="D60" s="7" t="s">
        <v>30</v>
      </c>
      <c r="E60" s="7" t="s">
        <v>32</v>
      </c>
      <c r="F60" s="33"/>
      <c r="G60" s="33"/>
      <c r="H60" s="33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</row>
    <row r="61">
      <c r="A61" s="7" t="s">
        <v>49</v>
      </c>
      <c r="B61" s="7" t="s">
        <v>95</v>
      </c>
      <c r="C61" s="7" t="s">
        <v>198</v>
      </c>
      <c r="D61" s="7" t="s">
        <v>30</v>
      </c>
      <c r="E61" s="7" t="s">
        <v>32</v>
      </c>
      <c r="F61" s="33"/>
      <c r="G61" s="33"/>
      <c r="H61" s="33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</row>
    <row r="62">
      <c r="A62" s="7" t="s">
        <v>49</v>
      </c>
      <c r="B62" s="7" t="s">
        <v>263</v>
      </c>
      <c r="C62" s="7" t="s">
        <v>227</v>
      </c>
      <c r="D62" s="7" t="s">
        <v>30</v>
      </c>
      <c r="E62" s="7" t="s">
        <v>32</v>
      </c>
      <c r="F62" s="33"/>
      <c r="G62" s="33"/>
      <c r="H62" s="33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>
      <c r="A63" s="7" t="s">
        <v>49</v>
      </c>
      <c r="B63" s="7" t="s">
        <v>105</v>
      </c>
      <c r="C63" s="7" t="s">
        <v>198</v>
      </c>
      <c r="D63" s="7" t="s">
        <v>30</v>
      </c>
      <c r="E63" s="7" t="s">
        <v>32</v>
      </c>
      <c r="F63" s="33"/>
      <c r="G63" s="33"/>
      <c r="H63" s="33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  <row r="64">
      <c r="A64" s="7" t="s">
        <v>49</v>
      </c>
      <c r="B64" s="7" t="s">
        <v>163</v>
      </c>
      <c r="C64" s="7" t="s">
        <v>122</v>
      </c>
      <c r="D64" s="7" t="s">
        <v>30</v>
      </c>
      <c r="E64" s="7" t="s">
        <v>32</v>
      </c>
      <c r="F64" s="33"/>
      <c r="G64" s="33"/>
      <c r="H64" s="33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>
      <c r="A65" s="7" t="s">
        <v>49</v>
      </c>
      <c r="B65" s="7" t="s">
        <v>54</v>
      </c>
      <c r="C65" s="7" t="s">
        <v>237</v>
      </c>
      <c r="D65" s="7" t="s">
        <v>30</v>
      </c>
      <c r="E65" s="7" t="s">
        <v>32</v>
      </c>
      <c r="F65" s="33"/>
      <c r="G65" s="33"/>
      <c r="H65" s="33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>
      <c r="A66" s="7" t="s">
        <v>49</v>
      </c>
      <c r="B66" s="7" t="s">
        <v>238</v>
      </c>
      <c r="C66" s="7" t="s">
        <v>237</v>
      </c>
      <c r="D66" s="7" t="s">
        <v>30</v>
      </c>
      <c r="E66" s="7" t="s">
        <v>32</v>
      </c>
      <c r="F66" s="33"/>
      <c r="G66" s="7"/>
      <c r="H66" s="33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>
      <c r="A67" s="7" t="s">
        <v>49</v>
      </c>
      <c r="B67" s="7" t="s">
        <v>146</v>
      </c>
      <c r="C67" s="7" t="s">
        <v>237</v>
      </c>
      <c r="D67" s="7" t="s">
        <v>30</v>
      </c>
      <c r="E67" s="7" t="s">
        <v>32</v>
      </c>
      <c r="F67" s="33"/>
      <c r="G67" s="33"/>
      <c r="H67" s="33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>
      <c r="A68" s="7" t="s">
        <v>251</v>
      </c>
      <c r="B68" s="7" t="s">
        <v>313</v>
      </c>
      <c r="C68" s="7" t="s">
        <v>74</v>
      </c>
      <c r="D68" s="7" t="s">
        <v>30</v>
      </c>
      <c r="E68" s="7" t="s">
        <v>32</v>
      </c>
      <c r="F68" s="33"/>
      <c r="G68" s="33"/>
      <c r="H68" s="33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>
      <c r="A69" s="7" t="s">
        <v>251</v>
      </c>
      <c r="B69" s="7" t="s">
        <v>317</v>
      </c>
      <c r="C69" s="7" t="s">
        <v>74</v>
      </c>
      <c r="D69" s="7" t="s">
        <v>30</v>
      </c>
      <c r="E69" s="7" t="s">
        <v>32</v>
      </c>
      <c r="F69" s="33"/>
      <c r="G69" s="33"/>
      <c r="H69" s="33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</row>
    <row r="70">
      <c r="A70" s="7" t="s">
        <v>251</v>
      </c>
      <c r="B70" s="7" t="s">
        <v>321</v>
      </c>
      <c r="C70" s="7" t="s">
        <v>74</v>
      </c>
      <c r="D70" s="7" t="s">
        <v>30</v>
      </c>
      <c r="E70" s="7" t="s">
        <v>32</v>
      </c>
      <c r="F70" s="33"/>
      <c r="G70" s="33"/>
      <c r="H70" s="33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</row>
    <row r="71">
      <c r="A71" s="7" t="s">
        <v>251</v>
      </c>
      <c r="B71" s="7" t="s">
        <v>286</v>
      </c>
      <c r="C71" s="7" t="s">
        <v>28</v>
      </c>
      <c r="D71" s="7" t="s">
        <v>30</v>
      </c>
      <c r="E71" s="7" t="s">
        <v>32</v>
      </c>
      <c r="F71" s="33"/>
      <c r="G71" s="33"/>
      <c r="H71" s="33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</row>
    <row r="72">
      <c r="A72" s="7" t="s">
        <v>251</v>
      </c>
      <c r="B72" s="7" t="s">
        <v>326</v>
      </c>
      <c r="C72" s="7" t="s">
        <v>74</v>
      </c>
      <c r="D72" s="7" t="s">
        <v>30</v>
      </c>
      <c r="E72" s="7" t="s">
        <v>32</v>
      </c>
      <c r="F72" s="33"/>
      <c r="G72" s="33"/>
      <c r="H72" s="33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</row>
    <row r="73">
      <c r="A73" s="7" t="s">
        <v>251</v>
      </c>
      <c r="B73" s="7" t="s">
        <v>291</v>
      </c>
      <c r="C73" s="7" t="s">
        <v>80</v>
      </c>
      <c r="D73" s="7" t="s">
        <v>30</v>
      </c>
      <c r="E73" s="7" t="s">
        <v>32</v>
      </c>
      <c r="F73" s="33"/>
      <c r="G73" s="33"/>
      <c r="H73" s="50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>
      <c r="A74" s="7" t="s">
        <v>251</v>
      </c>
      <c r="B74" s="7" t="s">
        <v>330</v>
      </c>
      <c r="C74" s="7" t="s">
        <v>74</v>
      </c>
      <c r="D74" s="7" t="s">
        <v>30</v>
      </c>
      <c r="E74" s="7" t="s">
        <v>32</v>
      </c>
      <c r="F74" s="33"/>
      <c r="G74" s="33"/>
      <c r="H74" s="7" t="s">
        <v>120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</row>
    <row r="75">
      <c r="A75" s="7" t="s">
        <v>251</v>
      </c>
      <c r="B75" s="7" t="s">
        <v>255</v>
      </c>
      <c r="C75" s="7" t="s">
        <v>80</v>
      </c>
      <c r="D75" s="7" t="s">
        <v>30</v>
      </c>
      <c r="E75" s="7" t="s">
        <v>32</v>
      </c>
      <c r="F75" s="33"/>
      <c r="G75" s="7" t="s">
        <v>155</v>
      </c>
      <c r="H75" s="33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</row>
    <row r="76">
      <c r="A76" s="7" t="s">
        <v>251</v>
      </c>
      <c r="B76" s="7" t="s">
        <v>336</v>
      </c>
      <c r="C76" s="7" t="s">
        <v>74</v>
      </c>
      <c r="D76" s="7" t="s">
        <v>30</v>
      </c>
      <c r="E76" s="7" t="s">
        <v>32</v>
      </c>
      <c r="F76" s="33"/>
      <c r="G76" s="33"/>
      <c r="H76" s="7" t="s">
        <v>78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  <row r="77">
      <c r="A77" s="7" t="s">
        <v>251</v>
      </c>
      <c r="B77" s="7" t="s">
        <v>264</v>
      </c>
      <c r="C77" s="7" t="s">
        <v>80</v>
      </c>
      <c r="D77" s="7" t="s">
        <v>30</v>
      </c>
      <c r="E77" s="7" t="s">
        <v>32</v>
      </c>
      <c r="F77" s="33"/>
      <c r="G77" s="33"/>
      <c r="H77" s="33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>
      <c r="A78" s="7" t="s">
        <v>251</v>
      </c>
      <c r="B78" s="7" t="s">
        <v>343</v>
      </c>
      <c r="C78" s="7" t="s">
        <v>74</v>
      </c>
      <c r="D78" s="7" t="s">
        <v>30</v>
      </c>
      <c r="E78" s="7" t="s">
        <v>32</v>
      </c>
      <c r="F78" s="33"/>
      <c r="G78" s="33"/>
      <c r="H78" s="7" t="s">
        <v>120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>
      <c r="A79" s="7" t="s">
        <v>251</v>
      </c>
      <c r="B79" s="7" t="s">
        <v>331</v>
      </c>
      <c r="C79" s="7" t="s">
        <v>80</v>
      </c>
      <c r="D79" s="7" t="s">
        <v>30</v>
      </c>
      <c r="E79" s="7" t="s">
        <v>32</v>
      </c>
      <c r="F79" s="33"/>
      <c r="G79" s="33"/>
      <c r="H79" s="33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>
      <c r="A80" s="7" t="s">
        <v>251</v>
      </c>
      <c r="B80" s="7" t="s">
        <v>347</v>
      </c>
      <c r="C80" s="7" t="s">
        <v>152</v>
      </c>
      <c r="D80" s="7" t="s">
        <v>30</v>
      </c>
      <c r="E80" s="7" t="s">
        <v>32</v>
      </c>
      <c r="F80" s="33"/>
      <c r="G80" s="33"/>
      <c r="H80" s="7" t="s">
        <v>348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</row>
    <row r="81">
      <c r="A81" s="7" t="s">
        <v>251</v>
      </c>
      <c r="B81" s="7" t="s">
        <v>351</v>
      </c>
      <c r="C81" s="7" t="s">
        <v>80</v>
      </c>
      <c r="D81" s="7" t="s">
        <v>30</v>
      </c>
      <c r="E81" s="7" t="s">
        <v>32</v>
      </c>
      <c r="F81" s="33"/>
      <c r="G81" s="7" t="s">
        <v>155</v>
      </c>
      <c r="H81" s="33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</row>
    <row r="82">
      <c r="A82" s="7" t="s">
        <v>251</v>
      </c>
      <c r="B82" s="7" t="s">
        <v>353</v>
      </c>
      <c r="C82" s="7" t="s">
        <v>74</v>
      </c>
      <c r="D82" s="7" t="s">
        <v>30</v>
      </c>
      <c r="E82" s="7" t="s">
        <v>32</v>
      </c>
      <c r="F82" s="33"/>
      <c r="G82" s="33"/>
      <c r="H82" s="7" t="s">
        <v>261</v>
      </c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</row>
    <row r="83">
      <c r="A83" s="7" t="s">
        <v>251</v>
      </c>
      <c r="B83" s="7" t="s">
        <v>318</v>
      </c>
      <c r="C83" s="7" t="s">
        <v>80</v>
      </c>
      <c r="D83" s="7" t="s">
        <v>30</v>
      </c>
      <c r="E83" s="7" t="s">
        <v>32</v>
      </c>
      <c r="F83" s="7"/>
      <c r="G83" s="7" t="s">
        <v>357</v>
      </c>
      <c r="H83" s="33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</row>
    <row r="84">
      <c r="A84" s="7" t="s">
        <v>251</v>
      </c>
      <c r="B84" s="7" t="s">
        <v>359</v>
      </c>
      <c r="C84" s="7" t="s">
        <v>74</v>
      </c>
      <c r="D84" s="7" t="s">
        <v>30</v>
      </c>
      <c r="E84" s="7" t="s">
        <v>32</v>
      </c>
      <c r="F84" s="33"/>
      <c r="G84" s="33"/>
      <c r="H84" s="7" t="s">
        <v>120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>
      <c r="A85" s="7" t="s">
        <v>251</v>
      </c>
      <c r="B85" s="7" t="s">
        <v>195</v>
      </c>
      <c r="C85" s="7" t="s">
        <v>152</v>
      </c>
      <c r="D85" s="7" t="s">
        <v>268</v>
      </c>
      <c r="E85" s="7">
        <v>30.0</v>
      </c>
      <c r="F85" s="7" t="s">
        <v>278</v>
      </c>
      <c r="G85" s="33"/>
      <c r="H85" s="33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</row>
    <row r="86">
      <c r="A86" s="7" t="s">
        <v>251</v>
      </c>
      <c r="B86" s="59" t="s">
        <v>278</v>
      </c>
      <c r="C86" s="7" t="s">
        <v>363</v>
      </c>
      <c r="D86" s="7" t="s">
        <v>30</v>
      </c>
      <c r="E86" s="7" t="s">
        <v>32</v>
      </c>
      <c r="F86" s="33"/>
      <c r="G86" s="33"/>
      <c r="H86" s="33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</row>
    <row r="87">
      <c r="A87" s="7" t="s">
        <v>251</v>
      </c>
      <c r="B87" s="7" t="s">
        <v>204</v>
      </c>
      <c r="C87" s="7" t="s">
        <v>152</v>
      </c>
      <c r="D87" s="7" t="s">
        <v>30</v>
      </c>
      <c r="E87" s="7" t="s">
        <v>32</v>
      </c>
      <c r="F87" s="33"/>
      <c r="G87" s="7"/>
      <c r="H87" s="33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</row>
    <row r="88">
      <c r="A88" s="7" t="s">
        <v>251</v>
      </c>
      <c r="B88" s="7" t="s">
        <v>301</v>
      </c>
      <c r="C88" s="7" t="s">
        <v>207</v>
      </c>
      <c r="D88" s="7" t="s">
        <v>268</v>
      </c>
      <c r="E88" s="7">
        <v>30.0</v>
      </c>
      <c r="F88" s="7" t="s">
        <v>319</v>
      </c>
      <c r="G88" s="33"/>
      <c r="H88" s="33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</row>
    <row r="89">
      <c r="A89" s="7" t="s">
        <v>251</v>
      </c>
      <c r="B89" s="7" t="s">
        <v>319</v>
      </c>
      <c r="C89" s="7" t="s">
        <v>376</v>
      </c>
      <c r="D89" s="7" t="s">
        <v>30</v>
      </c>
      <c r="E89" s="7" t="s">
        <v>32</v>
      </c>
      <c r="F89" s="33"/>
      <c r="G89" s="33"/>
      <c r="H89" s="33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</row>
    <row r="90">
      <c r="A90" s="7" t="s">
        <v>251</v>
      </c>
      <c r="B90" s="7" t="s">
        <v>307</v>
      </c>
      <c r="C90" s="7" t="s">
        <v>207</v>
      </c>
      <c r="D90" s="7" t="s">
        <v>30</v>
      </c>
      <c r="E90" s="7" t="s">
        <v>32</v>
      </c>
      <c r="F90" s="33"/>
      <c r="G90" s="33"/>
      <c r="H90" s="33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</row>
    <row r="91">
      <c r="A91" s="7" t="s">
        <v>251</v>
      </c>
      <c r="B91" s="7" t="s">
        <v>295</v>
      </c>
      <c r="C91" s="7" t="s">
        <v>145</v>
      </c>
      <c r="D91" s="7" t="s">
        <v>268</v>
      </c>
      <c r="E91" s="7">
        <v>20.0</v>
      </c>
      <c r="F91" s="7" t="s">
        <v>282</v>
      </c>
      <c r="G91" s="7"/>
      <c r="H91" s="33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</row>
    <row r="92">
      <c r="A92" s="7" t="s">
        <v>251</v>
      </c>
      <c r="B92" s="7" t="s">
        <v>282</v>
      </c>
      <c r="C92" s="7" t="s">
        <v>383</v>
      </c>
      <c r="D92" s="7" t="s">
        <v>268</v>
      </c>
      <c r="E92" s="7">
        <v>30.0</v>
      </c>
      <c r="F92" s="7" t="s">
        <v>306</v>
      </c>
      <c r="G92" s="33"/>
      <c r="H92" s="33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</row>
    <row r="93">
      <c r="A93" s="7" t="s">
        <v>251</v>
      </c>
      <c r="B93" s="7" t="s">
        <v>306</v>
      </c>
      <c r="C93" s="7" t="s">
        <v>385</v>
      </c>
      <c r="D93" s="7" t="s">
        <v>268</v>
      </c>
      <c r="E93" s="7">
        <v>60.0</v>
      </c>
      <c r="F93" s="7" t="s">
        <v>296</v>
      </c>
      <c r="G93" s="33"/>
      <c r="H93" s="33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</row>
    <row r="94">
      <c r="A94" s="7" t="s">
        <v>251</v>
      </c>
      <c r="B94" s="7" t="s">
        <v>296</v>
      </c>
      <c r="C94" s="7" t="s">
        <v>386</v>
      </c>
      <c r="D94" s="7" t="s">
        <v>30</v>
      </c>
      <c r="E94" s="7" t="s">
        <v>32</v>
      </c>
      <c r="F94" s="33"/>
      <c r="G94" s="33"/>
      <c r="H94" s="33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</row>
    <row r="95">
      <c r="A95" s="7" t="s">
        <v>251</v>
      </c>
      <c r="B95" s="7" t="s">
        <v>290</v>
      </c>
      <c r="C95" s="7" t="s">
        <v>237</v>
      </c>
      <c r="D95" s="7" t="s">
        <v>30</v>
      </c>
      <c r="E95" s="7" t="s">
        <v>32</v>
      </c>
      <c r="F95" s="33"/>
      <c r="G95" s="33"/>
      <c r="H95" s="33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</row>
    <row r="96">
      <c r="A96" s="7" t="s">
        <v>251</v>
      </c>
      <c r="B96" s="7" t="s">
        <v>366</v>
      </c>
      <c r="C96" s="7" t="s">
        <v>237</v>
      </c>
      <c r="D96" s="7" t="s">
        <v>30</v>
      </c>
      <c r="E96" s="7" t="s">
        <v>32</v>
      </c>
      <c r="F96" s="33"/>
      <c r="G96" s="33"/>
      <c r="H96" s="33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</row>
    <row r="97">
      <c r="A97" s="7" t="s">
        <v>251</v>
      </c>
      <c r="B97" s="7" t="s">
        <v>253</v>
      </c>
      <c r="C97" s="7" t="s">
        <v>237</v>
      </c>
      <c r="D97" s="7" t="s">
        <v>30</v>
      </c>
      <c r="E97" s="7" t="s">
        <v>32</v>
      </c>
      <c r="F97" s="33"/>
      <c r="G97" s="33"/>
      <c r="H97" s="33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</row>
    <row r="98">
      <c r="A98" s="7" t="s">
        <v>251</v>
      </c>
      <c r="B98" s="7" t="s">
        <v>260</v>
      </c>
      <c r="C98" s="7" t="s">
        <v>237</v>
      </c>
      <c r="D98" s="7" t="s">
        <v>30</v>
      </c>
      <c r="E98" s="7" t="s">
        <v>32</v>
      </c>
      <c r="F98" s="33"/>
      <c r="G98" s="33"/>
      <c r="H98" s="33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</row>
    <row r="99">
      <c r="A99" s="7" t="s">
        <v>23</v>
      </c>
      <c r="B99" s="7" t="s">
        <v>272</v>
      </c>
      <c r="C99" s="7" t="s">
        <v>142</v>
      </c>
      <c r="D99" s="7" t="s">
        <v>30</v>
      </c>
      <c r="E99" s="7" t="s">
        <v>32</v>
      </c>
      <c r="F99" s="7" t="s">
        <v>47</v>
      </c>
      <c r="G99" s="7" t="s">
        <v>47</v>
      </c>
      <c r="H99" s="7" t="s">
        <v>390</v>
      </c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</row>
    <row r="100">
      <c r="A100" s="7" t="s">
        <v>49</v>
      </c>
      <c r="B100" s="7" t="s">
        <v>96</v>
      </c>
      <c r="C100" s="7" t="s">
        <v>142</v>
      </c>
      <c r="D100" s="7" t="s">
        <v>30</v>
      </c>
      <c r="E100" s="7" t="s">
        <v>32</v>
      </c>
      <c r="F100" s="7" t="s">
        <v>47</v>
      </c>
      <c r="G100" s="7" t="s">
        <v>47</v>
      </c>
      <c r="H100" s="7" t="s">
        <v>392</v>
      </c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</row>
    <row r="101">
      <c r="A101" s="7" t="s">
        <v>49</v>
      </c>
      <c r="B101" s="7" t="s">
        <v>103</v>
      </c>
      <c r="C101" s="7" t="s">
        <v>53</v>
      </c>
      <c r="D101" s="7" t="s">
        <v>30</v>
      </c>
      <c r="E101" s="7" t="s">
        <v>32</v>
      </c>
      <c r="F101" s="7" t="s">
        <v>47</v>
      </c>
      <c r="G101" s="7" t="s">
        <v>47</v>
      </c>
      <c r="H101" s="7" t="s">
        <v>394</v>
      </c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</row>
    <row r="102">
      <c r="A102" s="7" t="s">
        <v>49</v>
      </c>
      <c r="B102" s="7" t="s">
        <v>309</v>
      </c>
      <c r="C102" s="7" t="s">
        <v>207</v>
      </c>
      <c r="D102" s="7" t="s">
        <v>30</v>
      </c>
      <c r="E102" s="7" t="s">
        <v>32</v>
      </c>
      <c r="F102" s="7" t="s">
        <v>32</v>
      </c>
      <c r="G102" s="7" t="s">
        <v>47</v>
      </c>
      <c r="H102" s="7" t="s">
        <v>395</v>
      </c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</row>
    <row r="103">
      <c r="A103" s="7" t="s">
        <v>49</v>
      </c>
      <c r="B103" s="7" t="s">
        <v>117</v>
      </c>
      <c r="C103" s="7" t="s">
        <v>159</v>
      </c>
      <c r="D103" s="7" t="s">
        <v>30</v>
      </c>
      <c r="E103" s="7" t="s">
        <v>32</v>
      </c>
      <c r="F103" s="7" t="s">
        <v>32</v>
      </c>
      <c r="G103" s="7" t="s">
        <v>47</v>
      </c>
      <c r="H103" s="7" t="s">
        <v>396</v>
      </c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</row>
    <row r="104">
      <c r="A104" s="7" t="s">
        <v>49</v>
      </c>
      <c r="B104" s="7" t="s">
        <v>114</v>
      </c>
      <c r="C104" s="7" t="s">
        <v>53</v>
      </c>
      <c r="D104" s="7" t="s">
        <v>30</v>
      </c>
      <c r="E104" s="7" t="s">
        <v>32</v>
      </c>
      <c r="F104" s="7" t="s">
        <v>32</v>
      </c>
      <c r="G104" s="7" t="s">
        <v>47</v>
      </c>
      <c r="H104" s="7" t="s">
        <v>398</v>
      </c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</row>
    <row r="105">
      <c r="A105" s="7" t="s">
        <v>49</v>
      </c>
      <c r="B105" s="7" t="s">
        <v>133</v>
      </c>
      <c r="C105" s="7" t="s">
        <v>207</v>
      </c>
      <c r="D105" s="7" t="s">
        <v>30</v>
      </c>
      <c r="E105" s="7" t="s">
        <v>32</v>
      </c>
      <c r="F105" s="7" t="s">
        <v>32</v>
      </c>
      <c r="G105" s="7" t="s">
        <v>47</v>
      </c>
      <c r="H105" s="7" t="s">
        <v>399</v>
      </c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</row>
    <row r="106">
      <c r="A106" s="7" t="s">
        <v>49</v>
      </c>
      <c r="B106" s="7" t="s">
        <v>130</v>
      </c>
      <c r="C106" s="7" t="s">
        <v>53</v>
      </c>
      <c r="D106" s="7" t="s">
        <v>30</v>
      </c>
      <c r="E106" s="7" t="s">
        <v>32</v>
      </c>
      <c r="F106" s="11" t="s">
        <v>32</v>
      </c>
      <c r="G106" s="12" t="s">
        <v>47</v>
      </c>
      <c r="H106" s="15" t="s">
        <v>400</v>
      </c>
    </row>
    <row r="107">
      <c r="A107" s="7" t="s">
        <v>49</v>
      </c>
      <c r="B107" s="7" t="s">
        <v>144</v>
      </c>
      <c r="C107" s="7" t="s">
        <v>53</v>
      </c>
      <c r="D107" s="7" t="s">
        <v>30</v>
      </c>
      <c r="E107" s="18" t="s">
        <v>32</v>
      </c>
      <c r="F107" s="11" t="s">
        <v>32</v>
      </c>
      <c r="G107" s="12" t="s">
        <v>47</v>
      </c>
      <c r="H107" s="15" t="s">
        <v>401</v>
      </c>
    </row>
    <row r="108">
      <c r="A108" s="7" t="s">
        <v>49</v>
      </c>
      <c r="B108" s="7" t="s">
        <v>167</v>
      </c>
      <c r="C108" s="7" t="s">
        <v>159</v>
      </c>
      <c r="D108" s="7" t="s">
        <v>30</v>
      </c>
      <c r="E108" s="18" t="s">
        <v>32</v>
      </c>
      <c r="F108" s="11" t="s">
        <v>32</v>
      </c>
      <c r="G108" s="12" t="s">
        <v>47</v>
      </c>
      <c r="H108" s="15" t="s">
        <v>404</v>
      </c>
    </row>
    <row r="109">
      <c r="A109" s="7" t="s">
        <v>49</v>
      </c>
      <c r="B109" s="7" t="s">
        <v>165</v>
      </c>
      <c r="C109" s="7" t="s">
        <v>53</v>
      </c>
      <c r="D109" s="7" t="s">
        <v>30</v>
      </c>
      <c r="E109" s="18" t="s">
        <v>32</v>
      </c>
      <c r="F109" s="11" t="s">
        <v>32</v>
      </c>
      <c r="G109" s="12" t="s">
        <v>47</v>
      </c>
      <c r="H109" s="15" t="s">
        <v>405</v>
      </c>
    </row>
    <row r="110">
      <c r="A110" s="7" t="s">
        <v>49</v>
      </c>
      <c r="B110" s="7" t="s">
        <v>180</v>
      </c>
      <c r="C110" s="7" t="s">
        <v>207</v>
      </c>
      <c r="D110" s="7" t="s">
        <v>30</v>
      </c>
      <c r="E110" s="18" t="s">
        <v>32</v>
      </c>
      <c r="F110" s="11" t="s">
        <v>32</v>
      </c>
      <c r="G110" s="12" t="s">
        <v>47</v>
      </c>
      <c r="H110" s="15" t="s">
        <v>406</v>
      </c>
    </row>
    <row r="111">
      <c r="A111" s="7" t="s">
        <v>49</v>
      </c>
      <c r="B111" s="7" t="s">
        <v>177</v>
      </c>
      <c r="C111" s="7" t="s">
        <v>53</v>
      </c>
      <c r="D111" s="7" t="s">
        <v>30</v>
      </c>
      <c r="E111" s="18" t="s">
        <v>32</v>
      </c>
      <c r="F111" s="11" t="s">
        <v>32</v>
      </c>
      <c r="G111" s="12" t="s">
        <v>47</v>
      </c>
      <c r="H111" s="15" t="s">
        <v>407</v>
      </c>
    </row>
    <row r="112">
      <c r="A112" s="7" t="s">
        <v>49</v>
      </c>
      <c r="B112" s="7" t="s">
        <v>337</v>
      </c>
      <c r="C112" s="7" t="s">
        <v>207</v>
      </c>
      <c r="D112" s="7" t="s">
        <v>30</v>
      </c>
      <c r="E112" s="18" t="s">
        <v>32</v>
      </c>
      <c r="F112" s="11" t="s">
        <v>32</v>
      </c>
      <c r="G112" s="12" t="s">
        <v>47</v>
      </c>
      <c r="H112" s="15" t="s">
        <v>409</v>
      </c>
    </row>
    <row r="113">
      <c r="A113" s="7" t="s">
        <v>49</v>
      </c>
      <c r="B113" s="7" t="s">
        <v>189</v>
      </c>
      <c r="C113" s="7" t="s">
        <v>53</v>
      </c>
      <c r="D113" s="7" t="s">
        <v>30</v>
      </c>
      <c r="E113" s="7" t="s">
        <v>32</v>
      </c>
      <c r="F113" s="24" t="s">
        <v>32</v>
      </c>
      <c r="G113" s="12" t="s">
        <v>47</v>
      </c>
      <c r="H113" s="15" t="s">
        <v>410</v>
      </c>
    </row>
    <row r="114">
      <c r="A114" s="7" t="s">
        <v>49</v>
      </c>
      <c r="B114" s="7" t="s">
        <v>196</v>
      </c>
      <c r="C114" s="7" t="s">
        <v>53</v>
      </c>
      <c r="D114" s="7" t="s">
        <v>30</v>
      </c>
      <c r="E114" s="7" t="s">
        <v>32</v>
      </c>
      <c r="F114" s="24" t="s">
        <v>32</v>
      </c>
      <c r="G114" s="12" t="s">
        <v>47</v>
      </c>
      <c r="H114" s="15" t="s">
        <v>411</v>
      </c>
    </row>
    <row r="115">
      <c r="A115" s="7" t="s">
        <v>49</v>
      </c>
      <c r="B115" s="7" t="s">
        <v>208</v>
      </c>
      <c r="C115" s="7" t="s">
        <v>53</v>
      </c>
      <c r="D115" s="7" t="s">
        <v>30</v>
      </c>
      <c r="E115" s="18" t="s">
        <v>32</v>
      </c>
      <c r="F115" s="27" t="s">
        <v>32</v>
      </c>
      <c r="G115" s="12" t="s">
        <v>47</v>
      </c>
      <c r="H115" s="15" t="s">
        <v>413</v>
      </c>
    </row>
    <row r="116">
      <c r="A116" s="7" t="s">
        <v>49</v>
      </c>
      <c r="B116" s="7" t="s">
        <v>221</v>
      </c>
      <c r="C116" s="7" t="s">
        <v>53</v>
      </c>
      <c r="D116" s="7" t="s">
        <v>30</v>
      </c>
      <c r="E116" s="18" t="s">
        <v>32</v>
      </c>
      <c r="F116" s="27" t="s">
        <v>32</v>
      </c>
      <c r="G116" s="12" t="s">
        <v>47</v>
      </c>
      <c r="H116" s="15" t="s">
        <v>414</v>
      </c>
    </row>
    <row r="117">
      <c r="A117" s="7" t="s">
        <v>49</v>
      </c>
      <c r="B117" s="29" t="s">
        <v>231</v>
      </c>
      <c r="C117" s="7" t="s">
        <v>53</v>
      </c>
      <c r="D117" s="7" t="s">
        <v>30</v>
      </c>
      <c r="E117" s="7" t="s">
        <v>32</v>
      </c>
      <c r="F117" s="27" t="s">
        <v>32</v>
      </c>
      <c r="G117" s="12" t="s">
        <v>47</v>
      </c>
      <c r="H117" s="15" t="s">
        <v>416</v>
      </c>
    </row>
    <row r="118">
      <c r="A118" s="7" t="s">
        <v>49</v>
      </c>
      <c r="B118" s="7" t="s">
        <v>236</v>
      </c>
      <c r="C118" s="7" t="s">
        <v>53</v>
      </c>
      <c r="D118" s="7" t="s">
        <v>30</v>
      </c>
      <c r="E118" s="7" t="s">
        <v>32</v>
      </c>
      <c r="F118" s="27" t="s">
        <v>32</v>
      </c>
      <c r="G118" s="12" t="s">
        <v>47</v>
      </c>
      <c r="H118" s="15" t="s">
        <v>418</v>
      </c>
    </row>
    <row r="119">
      <c r="A119" s="7" t="s">
        <v>49</v>
      </c>
      <c r="B119" s="7" t="s">
        <v>246</v>
      </c>
      <c r="C119" s="7" t="s">
        <v>53</v>
      </c>
      <c r="D119" s="7" t="s">
        <v>30</v>
      </c>
      <c r="E119" s="7" t="s">
        <v>32</v>
      </c>
      <c r="F119" s="27" t="s">
        <v>32</v>
      </c>
      <c r="G119" s="12" t="s">
        <v>47</v>
      </c>
      <c r="H119" s="15" t="s">
        <v>419</v>
      </c>
    </row>
    <row r="120">
      <c r="A120" s="7" t="s">
        <v>251</v>
      </c>
      <c r="B120" s="7" t="s">
        <v>252</v>
      </c>
      <c r="C120" s="7" t="s">
        <v>53</v>
      </c>
      <c r="D120" s="7" t="s">
        <v>30</v>
      </c>
      <c r="E120" s="7" t="s">
        <v>32</v>
      </c>
      <c r="F120" s="27" t="s">
        <v>32</v>
      </c>
      <c r="G120" s="12" t="s">
        <v>155</v>
      </c>
      <c r="H120" s="15" t="s">
        <v>421</v>
      </c>
    </row>
    <row r="121">
      <c r="A121" s="7" t="s">
        <v>251</v>
      </c>
      <c r="B121" s="7" t="s">
        <v>259</v>
      </c>
      <c r="C121" s="7" t="s">
        <v>53</v>
      </c>
      <c r="D121" s="7" t="s">
        <v>30</v>
      </c>
      <c r="E121" s="7" t="s">
        <v>32</v>
      </c>
      <c r="F121" s="27" t="s">
        <v>32</v>
      </c>
      <c r="G121" s="12" t="s">
        <v>47</v>
      </c>
      <c r="H121" s="15" t="s">
        <v>423</v>
      </c>
    </row>
    <row r="122">
      <c r="A122" s="7" t="s">
        <v>251</v>
      </c>
      <c r="B122" s="7" t="s">
        <v>266</v>
      </c>
      <c r="C122" s="7" t="s">
        <v>53</v>
      </c>
      <c r="D122" s="7" t="s">
        <v>30</v>
      </c>
      <c r="E122" s="7" t="s">
        <v>32</v>
      </c>
      <c r="F122" s="27" t="s">
        <v>32</v>
      </c>
      <c r="G122" s="12" t="s">
        <v>47</v>
      </c>
      <c r="H122" s="15" t="s">
        <v>425</v>
      </c>
    </row>
    <row r="123">
      <c r="A123" s="7" t="s">
        <v>251</v>
      </c>
      <c r="B123" s="7" t="s">
        <v>271</v>
      </c>
      <c r="C123" s="7" t="s">
        <v>53</v>
      </c>
      <c r="D123" s="7" t="s">
        <v>30</v>
      </c>
      <c r="E123" s="7" t="s">
        <v>32</v>
      </c>
      <c r="F123" s="27" t="s">
        <v>32</v>
      </c>
      <c r="G123" s="12" t="s">
        <v>47</v>
      </c>
      <c r="H123" s="15" t="s">
        <v>426</v>
      </c>
    </row>
    <row r="124">
      <c r="A124" s="7" t="s">
        <v>251</v>
      </c>
      <c r="B124" s="7" t="s">
        <v>277</v>
      </c>
      <c r="C124" s="7" t="s">
        <v>53</v>
      </c>
      <c r="D124" s="7" t="s">
        <v>30</v>
      </c>
      <c r="E124" s="7" t="s">
        <v>32</v>
      </c>
      <c r="F124" s="27" t="s">
        <v>32</v>
      </c>
      <c r="G124" s="12" t="s">
        <v>47</v>
      </c>
      <c r="H124" s="15" t="s">
        <v>427</v>
      </c>
    </row>
    <row r="125">
      <c r="A125" s="7" t="s">
        <v>251</v>
      </c>
      <c r="B125" s="7" t="s">
        <v>281</v>
      </c>
      <c r="C125" s="7" t="s">
        <v>53</v>
      </c>
      <c r="D125" s="7" t="s">
        <v>30</v>
      </c>
      <c r="E125" s="7" t="s">
        <v>32</v>
      </c>
      <c r="F125" s="27" t="s">
        <v>32</v>
      </c>
      <c r="G125" s="12" t="s">
        <v>47</v>
      </c>
      <c r="H125" s="12" t="s">
        <v>428</v>
      </c>
    </row>
    <row r="126">
      <c r="A126" s="7" t="s">
        <v>251</v>
      </c>
      <c r="B126" s="7" t="s">
        <v>285</v>
      </c>
      <c r="C126" s="7" t="s">
        <v>53</v>
      </c>
      <c r="D126" s="7" t="s">
        <v>30</v>
      </c>
      <c r="E126" s="7" t="s">
        <v>32</v>
      </c>
      <c r="F126" s="27" t="s">
        <v>32</v>
      </c>
      <c r="G126" s="15" t="s">
        <v>155</v>
      </c>
      <c r="H126" s="15" t="s">
        <v>431</v>
      </c>
    </row>
    <row r="127">
      <c r="A127" s="7" t="s">
        <v>251</v>
      </c>
      <c r="B127" s="7" t="s">
        <v>289</v>
      </c>
      <c r="C127" s="7" t="s">
        <v>53</v>
      </c>
      <c r="D127" s="7" t="s">
        <v>30</v>
      </c>
      <c r="E127" s="7" t="s">
        <v>32</v>
      </c>
      <c r="F127" s="27" t="s">
        <v>32</v>
      </c>
      <c r="G127" s="12" t="s">
        <v>155</v>
      </c>
      <c r="H127" s="15" t="s">
        <v>432</v>
      </c>
    </row>
    <row r="128">
      <c r="A128" s="7" t="s">
        <v>251</v>
      </c>
      <c r="B128" s="7" t="s">
        <v>294</v>
      </c>
      <c r="C128" s="7" t="s">
        <v>53</v>
      </c>
      <c r="D128" s="7" t="s">
        <v>30</v>
      </c>
      <c r="E128" s="7" t="s">
        <v>32</v>
      </c>
      <c r="F128" s="27" t="s">
        <v>32</v>
      </c>
      <c r="G128" s="12" t="s">
        <v>47</v>
      </c>
      <c r="H128" s="15" t="s">
        <v>433</v>
      </c>
    </row>
    <row r="129">
      <c r="A129" s="7" t="s">
        <v>251</v>
      </c>
      <c r="B129" s="7" t="s">
        <v>300</v>
      </c>
      <c r="C129" s="7" t="s">
        <v>159</v>
      </c>
      <c r="D129" s="7" t="s">
        <v>30</v>
      </c>
      <c r="E129" s="7" t="s">
        <v>32</v>
      </c>
      <c r="F129" s="27" t="s">
        <v>32</v>
      </c>
      <c r="G129" s="15" t="s">
        <v>155</v>
      </c>
      <c r="H129" s="15" t="s">
        <v>435</v>
      </c>
    </row>
    <row r="130">
      <c r="A130" s="7" t="s">
        <v>251</v>
      </c>
      <c r="B130" s="7" t="s">
        <v>299</v>
      </c>
      <c r="C130" s="7" t="s">
        <v>53</v>
      </c>
      <c r="D130" s="7" t="s">
        <v>30</v>
      </c>
      <c r="E130" s="7" t="s">
        <v>32</v>
      </c>
      <c r="F130" s="27" t="s">
        <v>32</v>
      </c>
      <c r="G130" s="12" t="s">
        <v>47</v>
      </c>
      <c r="H130" s="12" t="s">
        <v>436</v>
      </c>
    </row>
    <row r="131">
      <c r="A131" s="7" t="s">
        <v>251</v>
      </c>
      <c r="B131" s="7" t="s">
        <v>305</v>
      </c>
      <c r="C131" s="7" t="s">
        <v>53</v>
      </c>
      <c r="D131" s="7" t="s">
        <v>30</v>
      </c>
      <c r="E131" s="7" t="s">
        <v>32</v>
      </c>
      <c r="F131" s="27" t="s">
        <v>32</v>
      </c>
      <c r="G131" s="12" t="s">
        <v>47</v>
      </c>
      <c r="H131" s="12" t="s">
        <v>439</v>
      </c>
    </row>
    <row r="132">
      <c r="A132" s="7" t="s">
        <v>251</v>
      </c>
      <c r="B132" s="7" t="s">
        <v>312</v>
      </c>
      <c r="C132" s="7" t="s">
        <v>142</v>
      </c>
      <c r="D132" s="7" t="s">
        <v>30</v>
      </c>
      <c r="E132" s="7" t="s">
        <v>32</v>
      </c>
      <c r="F132" s="27" t="s">
        <v>32</v>
      </c>
      <c r="G132" s="15" t="s">
        <v>47</v>
      </c>
      <c r="H132" s="15" t="s">
        <v>440</v>
      </c>
    </row>
    <row r="133">
      <c r="A133" s="7" t="s">
        <v>251</v>
      </c>
      <c r="B133" s="7" t="s">
        <v>311</v>
      </c>
      <c r="C133" s="7" t="s">
        <v>53</v>
      </c>
      <c r="D133" s="7" t="s">
        <v>30</v>
      </c>
      <c r="E133" s="7" t="s">
        <v>32</v>
      </c>
      <c r="F133" s="27" t="s">
        <v>32</v>
      </c>
      <c r="G133" s="12" t="s">
        <v>47</v>
      </c>
      <c r="H133" s="15" t="s">
        <v>442</v>
      </c>
    </row>
    <row r="134">
      <c r="A134" s="7" t="s">
        <v>251</v>
      </c>
      <c r="B134" s="7" t="s">
        <v>316</v>
      </c>
      <c r="C134" s="7" t="s">
        <v>53</v>
      </c>
      <c r="D134" s="7" t="s">
        <v>30</v>
      </c>
      <c r="E134" s="7" t="s">
        <v>32</v>
      </c>
      <c r="F134" s="27" t="s">
        <v>32</v>
      </c>
      <c r="G134" s="12" t="s">
        <v>134</v>
      </c>
      <c r="H134" s="12" t="s">
        <v>443</v>
      </c>
    </row>
    <row r="135">
      <c r="A135" s="7" t="s">
        <v>251</v>
      </c>
      <c r="B135" s="7" t="s">
        <v>325</v>
      </c>
      <c r="C135" s="7" t="s">
        <v>159</v>
      </c>
      <c r="D135" s="7" t="s">
        <v>30</v>
      </c>
      <c r="E135" s="7" t="s">
        <v>32</v>
      </c>
      <c r="F135" s="27" t="s">
        <v>32</v>
      </c>
      <c r="G135" s="12" t="s">
        <v>47</v>
      </c>
      <c r="H135" s="12" t="s">
        <v>445</v>
      </c>
    </row>
    <row r="136">
      <c r="A136" s="7" t="s">
        <v>251</v>
      </c>
      <c r="B136" s="7" t="s">
        <v>323</v>
      </c>
      <c r="C136" s="7" t="s">
        <v>53</v>
      </c>
      <c r="D136" s="7" t="s">
        <v>30</v>
      </c>
      <c r="E136" s="7" t="s">
        <v>32</v>
      </c>
      <c r="F136" s="33" t="s">
        <v>32</v>
      </c>
      <c r="G136" s="33" t="s">
        <v>47</v>
      </c>
      <c r="H136" s="7" t="s">
        <v>446</v>
      </c>
      <c r="I136" s="34"/>
      <c r="J136" s="34"/>
      <c r="K136" s="34"/>
    </row>
    <row r="137">
      <c r="A137" s="7" t="s">
        <v>251</v>
      </c>
      <c r="B137" s="7" t="s">
        <v>329</v>
      </c>
      <c r="C137" s="7" t="s">
        <v>53</v>
      </c>
      <c r="D137" s="7" t="s">
        <v>30</v>
      </c>
      <c r="E137" s="7" t="s">
        <v>32</v>
      </c>
      <c r="F137" s="33" t="s">
        <v>32</v>
      </c>
      <c r="G137" s="33" t="s">
        <v>47</v>
      </c>
      <c r="H137" s="33" t="s">
        <v>447</v>
      </c>
      <c r="I137" s="34"/>
      <c r="J137" s="34"/>
      <c r="K137" s="34"/>
    </row>
    <row r="138">
      <c r="A138" s="7" t="s">
        <v>251</v>
      </c>
      <c r="B138" s="7" t="s">
        <v>334</v>
      </c>
      <c r="C138" s="7" t="s">
        <v>53</v>
      </c>
      <c r="D138" s="7" t="s">
        <v>30</v>
      </c>
      <c r="E138" s="7" t="s">
        <v>32</v>
      </c>
      <c r="F138" s="33" t="s">
        <v>32</v>
      </c>
      <c r="G138" s="33" t="s">
        <v>47</v>
      </c>
      <c r="H138" s="33" t="s">
        <v>448</v>
      </c>
      <c r="I138" s="34"/>
      <c r="J138" s="34"/>
      <c r="K138" s="34"/>
    </row>
    <row r="139">
      <c r="A139" s="7" t="s">
        <v>251</v>
      </c>
      <c r="B139" s="7" t="s">
        <v>403</v>
      </c>
      <c r="C139" s="7" t="s">
        <v>227</v>
      </c>
      <c r="D139" s="7" t="s">
        <v>30</v>
      </c>
      <c r="E139" s="7" t="s">
        <v>32</v>
      </c>
      <c r="F139" s="33" t="s">
        <v>32</v>
      </c>
      <c r="G139" s="33"/>
      <c r="H139" s="7" t="s">
        <v>449</v>
      </c>
      <c r="I139" s="34"/>
      <c r="J139" s="34"/>
      <c r="K139" s="34"/>
    </row>
    <row r="140">
      <c r="A140" s="7" t="s">
        <v>251</v>
      </c>
      <c r="B140" s="7" t="s">
        <v>340</v>
      </c>
      <c r="C140" s="7" t="s">
        <v>159</v>
      </c>
      <c r="D140" s="7" t="s">
        <v>30</v>
      </c>
      <c r="E140" s="7" t="s">
        <v>32</v>
      </c>
      <c r="F140" s="33" t="s">
        <v>32</v>
      </c>
      <c r="G140" s="33"/>
      <c r="H140" s="33" t="s">
        <v>450</v>
      </c>
      <c r="I140" s="34"/>
      <c r="J140" s="34"/>
      <c r="K140" s="34"/>
    </row>
    <row r="141">
      <c r="A141" s="7" t="s">
        <v>251</v>
      </c>
      <c r="B141" s="7" t="s">
        <v>342</v>
      </c>
      <c r="C141" s="7" t="s">
        <v>142</v>
      </c>
      <c r="D141" s="7" t="s">
        <v>30</v>
      </c>
      <c r="E141" s="7" t="s">
        <v>32</v>
      </c>
      <c r="F141" s="33" t="s">
        <v>32</v>
      </c>
      <c r="G141" s="33"/>
      <c r="H141" s="33" t="s">
        <v>451</v>
      </c>
      <c r="I141" s="34"/>
      <c r="J141" s="34"/>
      <c r="K141" s="34"/>
    </row>
    <row r="142">
      <c r="A142" s="7" t="s">
        <v>251</v>
      </c>
      <c r="B142" s="7" t="s">
        <v>339</v>
      </c>
      <c r="C142" s="7" t="s">
        <v>53</v>
      </c>
      <c r="D142" s="7" t="s">
        <v>30</v>
      </c>
      <c r="E142" s="7" t="s">
        <v>32</v>
      </c>
      <c r="F142" s="33" t="s">
        <v>32</v>
      </c>
      <c r="G142" s="7" t="s">
        <v>155</v>
      </c>
      <c r="H142" s="33" t="s">
        <v>452</v>
      </c>
      <c r="I142" s="34"/>
      <c r="J142" s="34"/>
      <c r="K142" s="34"/>
    </row>
    <row r="143">
      <c r="A143" s="7" t="s">
        <v>251</v>
      </c>
      <c r="B143" s="7" t="s">
        <v>346</v>
      </c>
      <c r="C143" s="7" t="s">
        <v>53</v>
      </c>
      <c r="D143" s="7" t="s">
        <v>30</v>
      </c>
      <c r="E143" s="7" t="s">
        <v>32</v>
      </c>
      <c r="F143" s="33" t="s">
        <v>32</v>
      </c>
      <c r="G143" s="7" t="s">
        <v>47</v>
      </c>
      <c r="H143" s="33" t="s">
        <v>453</v>
      </c>
      <c r="I143" s="34"/>
      <c r="J143" s="34"/>
      <c r="K143" s="34"/>
      <c r="L143" s="34"/>
      <c r="M143" s="34"/>
      <c r="N143" s="34"/>
      <c r="O143" s="34"/>
      <c r="P143" s="34"/>
    </row>
    <row r="144">
      <c r="A144" s="7" t="s">
        <v>251</v>
      </c>
      <c r="B144" s="7" t="s">
        <v>352</v>
      </c>
      <c r="C144" s="7" t="s">
        <v>53</v>
      </c>
      <c r="D144" s="7" t="s">
        <v>30</v>
      </c>
      <c r="E144" s="7" t="s">
        <v>32</v>
      </c>
      <c r="F144" s="33" t="s">
        <v>32</v>
      </c>
      <c r="G144" s="33" t="s">
        <v>155</v>
      </c>
      <c r="H144" s="33" t="s">
        <v>454</v>
      </c>
      <c r="I144" s="34"/>
      <c r="J144" s="34"/>
      <c r="K144" s="34"/>
    </row>
    <row r="145">
      <c r="A145" s="7" t="s">
        <v>251</v>
      </c>
      <c r="B145" s="7" t="s">
        <v>356</v>
      </c>
      <c r="C145" s="7" t="s">
        <v>53</v>
      </c>
      <c r="D145" s="7" t="s">
        <v>30</v>
      </c>
      <c r="E145" s="7" t="s">
        <v>32</v>
      </c>
      <c r="F145" s="33" t="s">
        <v>32</v>
      </c>
      <c r="G145" s="33" t="s">
        <v>47</v>
      </c>
      <c r="H145" s="33" t="s">
        <v>455</v>
      </c>
      <c r="I145" s="34"/>
      <c r="J145" s="34"/>
      <c r="K145" s="34"/>
    </row>
    <row r="146">
      <c r="A146" s="7" t="s">
        <v>251</v>
      </c>
      <c r="B146" s="7" t="s">
        <v>361</v>
      </c>
      <c r="C146" s="7" t="s">
        <v>53</v>
      </c>
      <c r="D146" s="7" t="s">
        <v>30</v>
      </c>
      <c r="E146" s="7" t="s">
        <v>32</v>
      </c>
      <c r="F146" s="33" t="s">
        <v>32</v>
      </c>
      <c r="G146" s="33" t="s">
        <v>47</v>
      </c>
      <c r="H146" s="7" t="s">
        <v>456</v>
      </c>
      <c r="I146" s="34"/>
      <c r="J146" s="34"/>
      <c r="K146" s="34"/>
    </row>
    <row r="147">
      <c r="A147" s="7" t="s">
        <v>367</v>
      </c>
      <c r="B147" s="7" t="s">
        <v>457</v>
      </c>
      <c r="C147" s="7" t="s">
        <v>74</v>
      </c>
      <c r="D147" s="7" t="s">
        <v>30</v>
      </c>
      <c r="E147" s="7" t="s">
        <v>32</v>
      </c>
      <c r="F147" s="33" t="s">
        <v>32</v>
      </c>
      <c r="G147" s="33" t="s">
        <v>47</v>
      </c>
      <c r="H147" s="33"/>
      <c r="I147" s="34"/>
      <c r="J147" s="34"/>
      <c r="K147" s="34"/>
    </row>
    <row r="148">
      <c r="A148" s="7" t="s">
        <v>367</v>
      </c>
      <c r="B148" s="7" t="s">
        <v>458</v>
      </c>
      <c r="C148" s="7" t="s">
        <v>74</v>
      </c>
      <c r="D148" s="7" t="s">
        <v>30</v>
      </c>
      <c r="E148" s="7" t="s">
        <v>32</v>
      </c>
      <c r="F148" s="33" t="s">
        <v>32</v>
      </c>
      <c r="G148" s="33" t="s">
        <v>47</v>
      </c>
      <c r="H148" s="7"/>
      <c r="I148" s="34"/>
      <c r="J148" s="34"/>
      <c r="K148" s="34"/>
    </row>
    <row r="149">
      <c r="A149" s="7" t="s">
        <v>367</v>
      </c>
      <c r="B149" s="7" t="s">
        <v>459</v>
      </c>
      <c r="C149" s="7" t="s">
        <v>74</v>
      </c>
      <c r="D149" s="7" t="s">
        <v>268</v>
      </c>
      <c r="E149" s="7">
        <v>1.0</v>
      </c>
      <c r="F149" s="33" t="s">
        <v>460</v>
      </c>
      <c r="G149" s="33" t="s">
        <v>47</v>
      </c>
      <c r="H149" s="33"/>
      <c r="I149" s="34"/>
      <c r="J149" s="34"/>
      <c r="K149" s="34"/>
    </row>
    <row r="150">
      <c r="A150" s="7" t="s">
        <v>367</v>
      </c>
      <c r="B150" s="7" t="s">
        <v>371</v>
      </c>
      <c r="C150" s="7" t="s">
        <v>80</v>
      </c>
      <c r="D150" s="7" t="s">
        <v>30</v>
      </c>
      <c r="E150" s="7" t="s">
        <v>32</v>
      </c>
      <c r="F150" s="33" t="s">
        <v>32</v>
      </c>
      <c r="G150" s="33" t="s">
        <v>47</v>
      </c>
      <c r="H150" s="7"/>
      <c r="I150" s="34"/>
      <c r="J150" s="34"/>
      <c r="K150" s="34"/>
    </row>
    <row r="151">
      <c r="A151" s="7" t="s">
        <v>367</v>
      </c>
      <c r="B151" s="7" t="s">
        <v>461</v>
      </c>
      <c r="C151" s="7" t="s">
        <v>74</v>
      </c>
      <c r="D151" s="7" t="s">
        <v>30</v>
      </c>
      <c r="E151" s="7" t="s">
        <v>32</v>
      </c>
      <c r="F151" s="33" t="s">
        <v>32</v>
      </c>
      <c r="G151" s="33" t="s">
        <v>47</v>
      </c>
      <c r="H151" s="33"/>
      <c r="I151" s="34"/>
      <c r="J151" s="34"/>
      <c r="K151" s="34"/>
    </row>
    <row r="152">
      <c r="A152" s="7" t="s">
        <v>367</v>
      </c>
      <c r="B152" s="7" t="s">
        <v>462</v>
      </c>
      <c r="C152" s="7" t="s">
        <v>80</v>
      </c>
      <c r="D152" s="7" t="s">
        <v>30</v>
      </c>
      <c r="E152" s="7" t="s">
        <v>32</v>
      </c>
      <c r="F152" s="33" t="s">
        <v>32</v>
      </c>
      <c r="G152" s="33" t="s">
        <v>155</v>
      </c>
      <c r="H152" s="7"/>
      <c r="I152" s="34"/>
      <c r="J152" s="34"/>
      <c r="K152" s="34"/>
    </row>
    <row r="153">
      <c r="A153" s="7" t="s">
        <v>367</v>
      </c>
      <c r="B153" s="7" t="s">
        <v>463</v>
      </c>
      <c r="C153" s="7" t="s">
        <v>74</v>
      </c>
      <c r="D153" s="7" t="s">
        <v>30</v>
      </c>
      <c r="E153" s="7" t="s">
        <v>32</v>
      </c>
      <c r="F153" s="33" t="s">
        <v>32</v>
      </c>
      <c r="G153" s="33" t="s">
        <v>47</v>
      </c>
      <c r="H153" s="33"/>
      <c r="I153" s="34"/>
      <c r="J153" s="34"/>
      <c r="K153" s="34"/>
    </row>
    <row r="154">
      <c r="A154" s="7" t="s">
        <v>367</v>
      </c>
      <c r="B154" s="7" t="s">
        <v>464</v>
      </c>
      <c r="C154" s="7" t="s">
        <v>80</v>
      </c>
      <c r="D154" s="7" t="s">
        <v>30</v>
      </c>
      <c r="E154" s="7" t="s">
        <v>32</v>
      </c>
      <c r="F154" s="33" t="s">
        <v>32</v>
      </c>
      <c r="G154" s="33" t="s">
        <v>465</v>
      </c>
      <c r="H154" s="33"/>
      <c r="I154" s="34"/>
      <c r="J154" s="34"/>
      <c r="K154" s="34"/>
    </row>
    <row r="155">
      <c r="A155" s="7" t="s">
        <v>367</v>
      </c>
      <c r="B155" s="7" t="s">
        <v>466</v>
      </c>
      <c r="C155" s="7" t="s">
        <v>74</v>
      </c>
      <c r="D155" s="7" t="s">
        <v>30</v>
      </c>
      <c r="E155" s="7" t="s">
        <v>32</v>
      </c>
      <c r="F155" s="33" t="s">
        <v>32</v>
      </c>
      <c r="G155" s="33" t="s">
        <v>47</v>
      </c>
      <c r="H155" s="33"/>
      <c r="I155" s="34"/>
      <c r="J155" s="34"/>
      <c r="K155" s="34"/>
    </row>
    <row r="156">
      <c r="A156" s="7" t="s">
        <v>367</v>
      </c>
      <c r="B156" s="7" t="s">
        <v>379</v>
      </c>
      <c r="C156" s="7" t="s">
        <v>80</v>
      </c>
      <c r="D156" s="7" t="s">
        <v>30</v>
      </c>
      <c r="E156" s="45" t="s">
        <v>32</v>
      </c>
      <c r="F156" s="7" t="s">
        <v>32</v>
      </c>
      <c r="G156" s="7" t="s">
        <v>47</v>
      </c>
      <c r="H156" s="33"/>
      <c r="I156" s="34"/>
      <c r="J156" s="34"/>
      <c r="K156" s="34"/>
    </row>
    <row r="157">
      <c r="A157" s="7" t="s">
        <v>367</v>
      </c>
      <c r="B157" s="7" t="s">
        <v>467</v>
      </c>
      <c r="C157" s="7" t="s">
        <v>74</v>
      </c>
      <c r="D157" s="7" t="s">
        <v>30</v>
      </c>
      <c r="E157" s="7" t="s">
        <v>32</v>
      </c>
      <c r="F157" s="33" t="s">
        <v>32</v>
      </c>
      <c r="G157" s="33" t="s">
        <v>47</v>
      </c>
      <c r="H157" s="33"/>
      <c r="I157" s="34"/>
      <c r="J157" s="34"/>
      <c r="K157" s="34"/>
    </row>
    <row r="158">
      <c r="A158" s="7" t="s">
        <v>367</v>
      </c>
      <c r="B158" s="7" t="s">
        <v>422</v>
      </c>
      <c r="C158" s="7" t="s">
        <v>80</v>
      </c>
      <c r="D158" s="7" t="s">
        <v>30</v>
      </c>
      <c r="E158" s="7" t="s">
        <v>32</v>
      </c>
      <c r="F158" s="33" t="s">
        <v>32</v>
      </c>
      <c r="G158" s="33" t="s">
        <v>47</v>
      </c>
      <c r="H158" s="33"/>
      <c r="I158" s="34"/>
      <c r="J158" s="34"/>
      <c r="K158" s="34"/>
    </row>
    <row r="159">
      <c r="A159" s="7" t="s">
        <v>367</v>
      </c>
      <c r="B159" s="7" t="s">
        <v>468</v>
      </c>
      <c r="C159" s="7" t="s">
        <v>74</v>
      </c>
      <c r="D159" s="7" t="s">
        <v>30</v>
      </c>
      <c r="E159" s="7" t="s">
        <v>32</v>
      </c>
      <c r="F159" s="33" t="s">
        <v>32</v>
      </c>
      <c r="G159" s="33" t="s">
        <v>47</v>
      </c>
      <c r="H159" s="33"/>
      <c r="I159" s="34"/>
      <c r="J159" s="34"/>
      <c r="K159" s="34"/>
    </row>
    <row r="160">
      <c r="A160" s="7" t="s">
        <v>367</v>
      </c>
      <c r="B160" s="7" t="s">
        <v>469</v>
      </c>
      <c r="C160" s="7"/>
      <c r="D160" s="7" t="s">
        <v>30</v>
      </c>
      <c r="E160" s="7" t="s">
        <v>32</v>
      </c>
      <c r="F160" s="33" t="s">
        <v>32</v>
      </c>
      <c r="G160" s="33" t="s">
        <v>47</v>
      </c>
      <c r="H160" s="33"/>
      <c r="I160" s="34"/>
      <c r="J160" s="34"/>
      <c r="K160" s="34"/>
    </row>
    <row r="161">
      <c r="A161" s="7" t="s">
        <v>367</v>
      </c>
      <c r="B161" s="7" t="s">
        <v>470</v>
      </c>
      <c r="C161" s="7"/>
      <c r="D161" s="7" t="s">
        <v>30</v>
      </c>
      <c r="E161" s="7" t="s">
        <v>32</v>
      </c>
      <c r="F161" s="33" t="s">
        <v>32</v>
      </c>
      <c r="G161" s="7" t="s">
        <v>47</v>
      </c>
      <c r="H161" s="33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</row>
    <row r="162">
      <c r="A162" s="7" t="s">
        <v>367</v>
      </c>
      <c r="B162" s="7" t="s">
        <v>372</v>
      </c>
      <c r="C162" s="7" t="s">
        <v>207</v>
      </c>
      <c r="D162" s="7" t="s">
        <v>30</v>
      </c>
      <c r="E162" s="7" t="s">
        <v>32</v>
      </c>
      <c r="F162" s="33" t="s">
        <v>32</v>
      </c>
      <c r="G162" s="33" t="s">
        <v>47</v>
      </c>
      <c r="H162" s="33" t="s">
        <v>471</v>
      </c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</row>
    <row r="163">
      <c r="A163" s="7" t="s">
        <v>367</v>
      </c>
      <c r="B163" s="7" t="s">
        <v>417</v>
      </c>
      <c r="C163" s="7" t="s">
        <v>152</v>
      </c>
      <c r="D163" s="7" t="s">
        <v>30</v>
      </c>
      <c r="E163" s="7" t="s">
        <v>32</v>
      </c>
      <c r="F163" s="33" t="s">
        <v>32</v>
      </c>
      <c r="G163" s="33" t="s">
        <v>134</v>
      </c>
      <c r="H163" s="33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</row>
    <row r="164">
      <c r="A164" s="7" t="s">
        <v>367</v>
      </c>
      <c r="B164" s="7" t="s">
        <v>472</v>
      </c>
      <c r="C164" s="7" t="s">
        <v>207</v>
      </c>
      <c r="D164" s="7" t="s">
        <v>30</v>
      </c>
      <c r="E164" s="7" t="s">
        <v>32</v>
      </c>
      <c r="F164" s="33" t="s">
        <v>32</v>
      </c>
      <c r="G164" s="33" t="s">
        <v>47</v>
      </c>
      <c r="H164" s="33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</row>
    <row r="165">
      <c r="A165" s="7" t="s">
        <v>367</v>
      </c>
      <c r="B165" s="7" t="s">
        <v>473</v>
      </c>
      <c r="C165" s="7" t="s">
        <v>145</v>
      </c>
      <c r="D165" s="7" t="s">
        <v>268</v>
      </c>
      <c r="E165" s="7">
        <v>30.0</v>
      </c>
      <c r="F165" s="33" t="s">
        <v>319</v>
      </c>
      <c r="G165" s="33" t="s">
        <v>47</v>
      </c>
      <c r="H165" s="33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</row>
    <row r="166">
      <c r="A166" s="7" t="s">
        <v>367</v>
      </c>
      <c r="B166" s="7" t="s">
        <v>474</v>
      </c>
      <c r="C166" s="7"/>
      <c r="D166" s="7" t="s">
        <v>30</v>
      </c>
      <c r="E166" s="7" t="s">
        <v>32</v>
      </c>
      <c r="F166" s="33" t="s">
        <v>32</v>
      </c>
      <c r="G166" s="33" t="s">
        <v>47</v>
      </c>
      <c r="H166" s="33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</row>
    <row r="167">
      <c r="A167" s="7" t="s">
        <v>367</v>
      </c>
      <c r="B167" s="7" t="s">
        <v>475</v>
      </c>
      <c r="C167" s="7" t="s">
        <v>207</v>
      </c>
      <c r="D167" s="7" t="s">
        <v>30</v>
      </c>
      <c r="E167" s="7" t="s">
        <v>32</v>
      </c>
      <c r="F167" s="33" t="s">
        <v>32</v>
      </c>
      <c r="G167" s="33" t="s">
        <v>476</v>
      </c>
      <c r="H167" s="33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</row>
    <row r="168">
      <c r="A168" s="7" t="s">
        <v>367</v>
      </c>
      <c r="B168" s="7" t="s">
        <v>369</v>
      </c>
      <c r="C168" s="7" t="s">
        <v>172</v>
      </c>
      <c r="D168" s="7" t="s">
        <v>30</v>
      </c>
      <c r="E168" s="7" t="s">
        <v>32</v>
      </c>
      <c r="F168" s="33" t="s">
        <v>32</v>
      </c>
      <c r="G168" s="33" t="s">
        <v>47</v>
      </c>
      <c r="H168" s="33" t="s">
        <v>477</v>
      </c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</row>
    <row r="169">
      <c r="A169" s="7" t="s">
        <v>367</v>
      </c>
      <c r="B169" s="7" t="s">
        <v>478</v>
      </c>
      <c r="C169" s="7" t="s">
        <v>237</v>
      </c>
      <c r="D169" s="7" t="s">
        <v>30</v>
      </c>
      <c r="E169" s="7" t="s">
        <v>32</v>
      </c>
      <c r="F169" s="33" t="s">
        <v>32</v>
      </c>
      <c r="G169" s="33" t="s">
        <v>47</v>
      </c>
      <c r="H169" s="33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</row>
    <row r="170">
      <c r="A170" s="7" t="s">
        <v>367</v>
      </c>
      <c r="B170" s="7" t="s">
        <v>479</v>
      </c>
      <c r="C170" s="7"/>
      <c r="D170" s="7" t="s">
        <v>30</v>
      </c>
      <c r="E170" s="7" t="s">
        <v>32</v>
      </c>
      <c r="F170" s="33" t="s">
        <v>32</v>
      </c>
      <c r="G170" s="7" t="s">
        <v>47</v>
      </c>
      <c r="H170" s="33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</row>
    <row r="171">
      <c r="A171" s="7" t="s">
        <v>367</v>
      </c>
      <c r="B171" s="7" t="s">
        <v>378</v>
      </c>
      <c r="C171" s="7" t="s">
        <v>172</v>
      </c>
      <c r="D171" s="7" t="s">
        <v>30</v>
      </c>
      <c r="E171" s="7" t="s">
        <v>32</v>
      </c>
      <c r="F171" s="33" t="s">
        <v>32</v>
      </c>
      <c r="G171" s="33" t="s">
        <v>47</v>
      </c>
      <c r="H171" s="7" t="s">
        <v>480</v>
      </c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</row>
    <row r="172">
      <c r="A172" s="7" t="s">
        <v>367</v>
      </c>
      <c r="B172" s="7" t="s">
        <v>370</v>
      </c>
      <c r="C172" s="7" t="s">
        <v>227</v>
      </c>
      <c r="D172" s="7" t="s">
        <v>30</v>
      </c>
      <c r="E172" s="7" t="s">
        <v>32</v>
      </c>
      <c r="F172" s="33" t="s">
        <v>32</v>
      </c>
      <c r="G172" s="33" t="s">
        <v>134</v>
      </c>
      <c r="H172" s="33" t="s">
        <v>481</v>
      </c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</row>
    <row r="173">
      <c r="A173" s="7" t="s">
        <v>367</v>
      </c>
      <c r="B173" s="7" t="s">
        <v>368</v>
      </c>
      <c r="C173" s="7" t="s">
        <v>53</v>
      </c>
      <c r="D173" s="7" t="s">
        <v>30</v>
      </c>
      <c r="E173" s="7" t="s">
        <v>32</v>
      </c>
      <c r="F173" s="33" t="s">
        <v>32</v>
      </c>
      <c r="G173" s="33" t="s">
        <v>47</v>
      </c>
      <c r="H173" s="33" t="s">
        <v>482</v>
      </c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</row>
    <row r="174">
      <c r="A174" s="7" t="s">
        <v>367</v>
      </c>
      <c r="B174" s="7" t="s">
        <v>430</v>
      </c>
      <c r="C174" s="7" t="s">
        <v>145</v>
      </c>
      <c r="D174" s="7" t="s">
        <v>30</v>
      </c>
      <c r="E174" s="7" t="s">
        <v>32</v>
      </c>
      <c r="F174" s="7" t="s">
        <v>32</v>
      </c>
      <c r="G174" s="7" t="s">
        <v>47</v>
      </c>
      <c r="H174" s="7" t="s">
        <v>483</v>
      </c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</row>
    <row r="175">
      <c r="A175" s="7" t="s">
        <v>367</v>
      </c>
      <c r="B175" s="7" t="s">
        <v>438</v>
      </c>
      <c r="C175" s="7" t="s">
        <v>152</v>
      </c>
      <c r="D175" s="7" t="s">
        <v>30</v>
      </c>
      <c r="E175" s="7" t="s">
        <v>32</v>
      </c>
      <c r="F175" s="7" t="s">
        <v>32</v>
      </c>
      <c r="G175" s="7" t="s">
        <v>47</v>
      </c>
      <c r="H175" s="7" t="s">
        <v>484</v>
      </c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</row>
    <row r="176">
      <c r="A176" s="7" t="s">
        <v>367</v>
      </c>
      <c r="B176" s="7" t="s">
        <v>380</v>
      </c>
      <c r="C176" s="7" t="s">
        <v>142</v>
      </c>
      <c r="D176" s="7" t="s">
        <v>30</v>
      </c>
      <c r="E176" s="7" t="s">
        <v>32</v>
      </c>
      <c r="F176" s="7" t="s">
        <v>32</v>
      </c>
      <c r="G176" s="7" t="s">
        <v>155</v>
      </c>
      <c r="H176" s="7" t="s">
        <v>485</v>
      </c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</row>
    <row r="177">
      <c r="A177" s="7" t="s">
        <v>367</v>
      </c>
      <c r="B177" s="7" t="s">
        <v>375</v>
      </c>
      <c r="C177" s="7" t="s">
        <v>53</v>
      </c>
      <c r="D177" s="7" t="s">
        <v>30</v>
      </c>
      <c r="E177" s="7" t="s">
        <v>32</v>
      </c>
      <c r="F177" s="7" t="s">
        <v>32</v>
      </c>
      <c r="G177" s="7" t="s">
        <v>155</v>
      </c>
      <c r="H177" s="45" t="s">
        <v>486</v>
      </c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</row>
    <row r="178">
      <c r="A178" s="7"/>
      <c r="B178" s="7"/>
      <c r="C178" s="7"/>
      <c r="D178" s="7"/>
      <c r="E178" s="7"/>
      <c r="F178" s="33"/>
      <c r="G178" s="33"/>
      <c r="H178" s="7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</row>
    <row r="179">
      <c r="A179" s="7"/>
      <c r="B179" s="7"/>
      <c r="C179" s="7"/>
      <c r="D179" s="7"/>
      <c r="E179" s="7"/>
      <c r="F179" s="33"/>
      <c r="G179" s="7"/>
      <c r="H179" s="33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</row>
    <row r="180">
      <c r="A180" s="7"/>
      <c r="B180" s="7"/>
      <c r="C180" s="7"/>
      <c r="D180" s="7"/>
      <c r="E180" s="7"/>
      <c r="F180" s="33"/>
      <c r="G180" s="33"/>
      <c r="H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</row>
    <row r="181">
      <c r="A181" s="7"/>
      <c r="B181" s="7"/>
      <c r="C181" s="7"/>
      <c r="D181" s="7"/>
      <c r="E181" s="7"/>
      <c r="F181" s="33"/>
      <c r="G181" s="33"/>
      <c r="H181" s="33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</row>
    <row r="182">
      <c r="A182" s="7"/>
      <c r="B182" s="7"/>
      <c r="C182" s="7"/>
      <c r="D182" s="7"/>
      <c r="E182" s="7"/>
      <c r="F182" s="33"/>
      <c r="G182" s="33"/>
      <c r="H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</row>
    <row r="183">
      <c r="A183" s="7"/>
      <c r="B183" s="7"/>
      <c r="C183" s="7"/>
      <c r="D183" s="7"/>
      <c r="E183" s="7"/>
      <c r="F183" s="33"/>
      <c r="G183" s="33"/>
      <c r="H183" s="33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</row>
    <row r="184">
      <c r="A184" s="7"/>
      <c r="B184" s="7"/>
      <c r="C184" s="7"/>
      <c r="D184" s="7"/>
      <c r="E184" s="7"/>
      <c r="F184" s="33"/>
      <c r="G184" s="33"/>
      <c r="H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</row>
    <row r="185">
      <c r="A185" s="7"/>
      <c r="B185" s="7"/>
      <c r="C185" s="7"/>
      <c r="D185" s="7"/>
      <c r="E185" s="7"/>
      <c r="F185" s="33"/>
      <c r="G185" s="7"/>
      <c r="H185" s="33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</row>
    <row r="186">
      <c r="A186" s="7"/>
      <c r="B186" s="7"/>
      <c r="C186" s="7"/>
      <c r="D186" s="7"/>
      <c r="E186" s="7"/>
      <c r="F186" s="33"/>
      <c r="G186" s="33"/>
      <c r="H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</row>
    <row r="187">
      <c r="A187" s="7"/>
      <c r="B187" s="7"/>
      <c r="C187" s="7"/>
      <c r="D187" s="7"/>
      <c r="E187" s="7"/>
      <c r="F187" s="7"/>
      <c r="G187" s="7"/>
      <c r="H187" s="33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</row>
    <row r="188">
      <c r="A188" s="7"/>
      <c r="B188" s="7"/>
      <c r="C188" s="7"/>
      <c r="D188" s="7"/>
      <c r="E188" s="7"/>
      <c r="F188" s="33"/>
      <c r="G188" s="33"/>
      <c r="H188" s="7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</row>
    <row r="189">
      <c r="A189" s="7"/>
      <c r="B189" s="7"/>
      <c r="C189" s="7"/>
      <c r="D189" s="7"/>
      <c r="E189" s="7"/>
      <c r="F189" s="7"/>
      <c r="G189" s="33"/>
      <c r="H189" s="33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>
      <c r="A190" s="7"/>
      <c r="B190" s="59"/>
      <c r="C190" s="7"/>
      <c r="D190" s="7"/>
      <c r="E190" s="7"/>
      <c r="F190" s="33"/>
      <c r="G190" s="33"/>
      <c r="H190" s="33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</row>
    <row r="191">
      <c r="A191" s="7"/>
      <c r="B191" s="7"/>
      <c r="C191" s="7"/>
      <c r="D191" s="7"/>
      <c r="E191" s="7"/>
      <c r="F191" s="33"/>
      <c r="G191" s="7"/>
      <c r="H191" s="33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</row>
    <row r="192">
      <c r="A192" s="7"/>
      <c r="B192" s="7"/>
      <c r="C192" s="7"/>
      <c r="D192" s="7"/>
      <c r="E192" s="7"/>
      <c r="F192" s="7"/>
      <c r="G192" s="33"/>
      <c r="H192" s="33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</row>
    <row r="193">
      <c r="A193" s="7"/>
      <c r="B193" s="7"/>
      <c r="C193" s="7"/>
      <c r="D193" s="7"/>
      <c r="E193" s="7"/>
      <c r="F193" s="33"/>
      <c r="G193" s="33"/>
      <c r="H193" s="33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</row>
    <row r="194">
      <c r="A194" s="7"/>
      <c r="B194" s="7"/>
      <c r="C194" s="7"/>
      <c r="D194" s="7"/>
      <c r="E194" s="7"/>
      <c r="F194" s="33"/>
      <c r="G194" s="33"/>
      <c r="H194" s="33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>
      <c r="A195" s="7"/>
      <c r="B195" s="7"/>
      <c r="C195" s="7"/>
      <c r="D195" s="7"/>
      <c r="E195" s="7"/>
      <c r="F195" s="7"/>
      <c r="G195" s="7"/>
      <c r="H195" s="33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>
      <c r="A196" s="7"/>
      <c r="B196" s="7"/>
      <c r="C196" s="7"/>
      <c r="D196" s="7"/>
      <c r="E196" s="7"/>
      <c r="F196" s="7"/>
      <c r="G196" s="33"/>
      <c r="H196" s="33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</row>
    <row r="197">
      <c r="A197" s="7"/>
      <c r="B197" s="7"/>
      <c r="C197" s="7"/>
      <c r="D197" s="7"/>
      <c r="E197" s="7"/>
      <c r="F197" s="7"/>
      <c r="G197" s="33"/>
      <c r="H197" s="33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</row>
    <row r="198">
      <c r="A198" s="7"/>
      <c r="B198" s="7"/>
      <c r="C198" s="7"/>
      <c r="D198" s="7"/>
      <c r="E198" s="7"/>
      <c r="F198" s="33"/>
      <c r="G198" s="33"/>
      <c r="H198" s="33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</row>
    <row r="199">
      <c r="A199" s="7"/>
      <c r="B199" s="7"/>
      <c r="C199" s="7"/>
      <c r="D199" s="7"/>
      <c r="E199" s="7"/>
      <c r="F199" s="33"/>
      <c r="G199" s="33"/>
      <c r="H199" s="33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</row>
    <row r="200">
      <c r="A200" s="7"/>
      <c r="B200" s="7"/>
      <c r="C200" s="7"/>
      <c r="D200" s="7"/>
      <c r="E200" s="7"/>
      <c r="F200" s="33"/>
      <c r="G200" s="33"/>
      <c r="H200" s="33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</row>
    <row r="201">
      <c r="A201" s="7"/>
      <c r="B201" s="7"/>
      <c r="C201" s="7"/>
      <c r="D201" s="7"/>
      <c r="E201" s="7"/>
      <c r="F201" s="33"/>
      <c r="G201" s="33"/>
      <c r="H201" s="33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</row>
    <row r="202">
      <c r="A202" s="7"/>
      <c r="B202" s="7"/>
      <c r="C202" s="7"/>
      <c r="D202" s="7"/>
      <c r="E202" s="7"/>
      <c r="F202" s="33"/>
      <c r="G202" s="33"/>
      <c r="H202" s="33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</row>
    <row r="203">
      <c r="A203" s="7"/>
      <c r="B203" s="7"/>
      <c r="C203" s="7"/>
      <c r="D203" s="7"/>
      <c r="E203" s="7"/>
      <c r="F203" s="7"/>
      <c r="G203" s="7"/>
      <c r="H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</row>
    <row r="204">
      <c r="A204" s="7"/>
      <c r="B204" s="7"/>
      <c r="C204" s="7"/>
      <c r="D204" s="7"/>
      <c r="E204" s="7"/>
      <c r="F204" s="7"/>
      <c r="G204" s="7"/>
      <c r="H204" s="7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</row>
    <row r="205">
      <c r="A205" s="7"/>
      <c r="B205" s="7"/>
      <c r="C205" s="7"/>
      <c r="D205" s="7"/>
      <c r="E205" s="7"/>
      <c r="F205" s="7"/>
      <c r="G205" s="7"/>
      <c r="H205" s="7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</row>
    <row r="206">
      <c r="A206" s="7"/>
      <c r="B206" s="7"/>
      <c r="C206" s="7"/>
      <c r="D206" s="7"/>
      <c r="E206" s="7"/>
      <c r="F206" s="7"/>
      <c r="G206" s="7"/>
      <c r="H206" s="7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</row>
    <row r="207">
      <c r="A207" s="7"/>
      <c r="B207" s="7"/>
      <c r="C207" s="7"/>
      <c r="D207" s="7"/>
      <c r="E207" s="7"/>
      <c r="F207" s="7"/>
      <c r="G207" s="7"/>
      <c r="H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</row>
    <row r="208">
      <c r="A208" s="7"/>
      <c r="B208" s="7"/>
      <c r="C208" s="7"/>
      <c r="D208" s="7"/>
      <c r="E208" s="7"/>
      <c r="F208" s="7"/>
      <c r="G208" s="7"/>
      <c r="H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</row>
    <row r="209">
      <c r="A209" s="7"/>
      <c r="B209" s="7"/>
      <c r="C209" s="7"/>
      <c r="D209" s="7"/>
      <c r="E209" s="7"/>
      <c r="F209" s="7"/>
      <c r="G209" s="7"/>
      <c r="H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  <row r="1001">
      <c r="A1001" s="34"/>
    </row>
    <row r="1002">
      <c r="A1002" s="34"/>
    </row>
    <row r="1003">
      <c r="A1003" s="34"/>
    </row>
    <row r="1004">
      <c r="A1004" s="34"/>
    </row>
    <row r="1005">
      <c r="A1005" s="34"/>
    </row>
    <row r="1006">
      <c r="A1006" s="34"/>
    </row>
    <row r="1007">
      <c r="A1007" s="34"/>
    </row>
    <row r="1008">
      <c r="A1008" s="34"/>
    </row>
    <row r="1009">
      <c r="A1009" s="34"/>
    </row>
    <row r="1010">
      <c r="A1010" s="34"/>
    </row>
    <row r="1011">
      <c r="A1011" s="34"/>
    </row>
  </sheetData>
  <conditionalFormatting sqref="A2:H209">
    <cfRule type="expression" dxfId="4" priority="1" stopIfTrue="1">
      <formula>ISEVEN(ROW())</formula>
    </cfRule>
  </conditionalFormatting>
  <conditionalFormatting sqref="A2:H209">
    <cfRule type="expression" dxfId="5" priority="2" stopIfTrue="1">
      <formula>ISODD(ROW())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0"/>
    <col customWidth="1" min="3" max="3" width="9.38"/>
    <col customWidth="1" min="4" max="4" width="12.0"/>
    <col customWidth="1" min="5" max="5" width="16.13"/>
    <col customWidth="1" min="6" max="7" width="12.75"/>
    <col customWidth="1" min="8" max="11" width="13.13"/>
    <col customWidth="1" min="12" max="13" width="13.25"/>
    <col customWidth="1" min="14" max="14" width="11.5"/>
    <col customWidth="1" min="15" max="15" width="12.0"/>
    <col customWidth="1" min="16" max="16" width="14.0"/>
    <col customWidth="1" min="17" max="17" width="92.63"/>
  </cols>
  <sheetData>
    <row r="1">
      <c r="A1" s="6" t="s">
        <v>10</v>
      </c>
      <c r="B1" s="9" t="s">
        <v>29</v>
      </c>
      <c r="C1" s="9" t="s">
        <v>16</v>
      </c>
      <c r="D1" s="9" t="s">
        <v>18</v>
      </c>
      <c r="E1" s="9" t="s">
        <v>39</v>
      </c>
      <c r="F1" s="9" t="s">
        <v>21</v>
      </c>
      <c r="G1" s="9" t="s">
        <v>22</v>
      </c>
      <c r="H1" s="9" t="s">
        <v>24</v>
      </c>
      <c r="I1" s="9" t="s">
        <v>25</v>
      </c>
      <c r="J1" s="9" t="s">
        <v>27</v>
      </c>
      <c r="K1" s="9" t="s">
        <v>31</v>
      </c>
      <c r="L1" s="9" t="s">
        <v>33</v>
      </c>
      <c r="M1" s="9" t="s">
        <v>34</v>
      </c>
      <c r="N1" s="9" t="s">
        <v>41</v>
      </c>
      <c r="O1" s="9" t="s">
        <v>42</v>
      </c>
      <c r="P1" s="9" t="s">
        <v>43</v>
      </c>
      <c r="Q1" s="9" t="s">
        <v>46</v>
      </c>
    </row>
    <row r="2">
      <c r="A2" s="16" t="s">
        <v>49</v>
      </c>
      <c r="B2" s="16" t="s">
        <v>52</v>
      </c>
      <c r="C2" s="16" t="s">
        <v>53</v>
      </c>
      <c r="D2" s="16" t="s">
        <v>54</v>
      </c>
      <c r="E2" s="16">
        <v>1.0</v>
      </c>
      <c r="F2" s="16" t="s">
        <v>56</v>
      </c>
      <c r="G2" s="16">
        <v>1.0</v>
      </c>
      <c r="H2" s="16" t="s">
        <v>58</v>
      </c>
      <c r="I2" s="16">
        <v>1.0</v>
      </c>
      <c r="J2" s="16" t="s">
        <v>59</v>
      </c>
      <c r="K2" s="16">
        <v>1.0</v>
      </c>
      <c r="L2" s="16" t="s">
        <v>47</v>
      </c>
      <c r="M2" s="16">
        <v>0.0</v>
      </c>
      <c r="N2" s="16">
        <v>5.0</v>
      </c>
      <c r="O2" s="16">
        <v>1.0</v>
      </c>
      <c r="P2" s="16">
        <f t="shared" ref="P2:P23" si="1">O2/N2</f>
        <v>0.2</v>
      </c>
      <c r="Q2" s="16" t="s">
        <v>76</v>
      </c>
    </row>
    <row r="3">
      <c r="A3" s="26" t="s">
        <v>49</v>
      </c>
      <c r="B3" s="26" t="s">
        <v>83</v>
      </c>
      <c r="C3" s="26" t="s">
        <v>53</v>
      </c>
      <c r="D3" s="26" t="s">
        <v>54</v>
      </c>
      <c r="E3" s="26">
        <v>1.0</v>
      </c>
      <c r="F3" s="26" t="s">
        <v>84</v>
      </c>
      <c r="G3" s="26">
        <v>1.0</v>
      </c>
      <c r="H3" s="26" t="s">
        <v>59</v>
      </c>
      <c r="I3" s="26">
        <v>1.0</v>
      </c>
      <c r="J3" s="26" t="s">
        <v>47</v>
      </c>
      <c r="K3" s="26">
        <v>0.0</v>
      </c>
      <c r="L3" s="26" t="s">
        <v>47</v>
      </c>
      <c r="M3" s="26">
        <v>0.0</v>
      </c>
      <c r="N3" s="26">
        <v>5.0</v>
      </c>
      <c r="O3" s="26">
        <v>1.0</v>
      </c>
      <c r="P3" s="26">
        <f t="shared" si="1"/>
        <v>0.2</v>
      </c>
      <c r="Q3" s="26" t="s">
        <v>90</v>
      </c>
    </row>
    <row r="4">
      <c r="A4" s="26" t="s">
        <v>49</v>
      </c>
      <c r="B4" s="26" t="s">
        <v>92</v>
      </c>
      <c r="C4" s="26" t="s">
        <v>53</v>
      </c>
      <c r="D4" s="26" t="s">
        <v>54</v>
      </c>
      <c r="E4" s="26">
        <v>1.0</v>
      </c>
      <c r="F4" s="26" t="s">
        <v>95</v>
      </c>
      <c r="G4" s="26">
        <v>1.0</v>
      </c>
      <c r="H4" s="26" t="s">
        <v>96</v>
      </c>
      <c r="I4" s="26">
        <v>1.0</v>
      </c>
      <c r="J4" s="26" t="s">
        <v>59</v>
      </c>
      <c r="K4" s="26">
        <v>1.0</v>
      </c>
      <c r="L4" s="26" t="s">
        <v>47</v>
      </c>
      <c r="M4" s="26">
        <v>0.0</v>
      </c>
      <c r="N4" s="26">
        <v>5.0</v>
      </c>
      <c r="O4" s="26">
        <v>1.0</v>
      </c>
      <c r="P4" s="26">
        <f t="shared" si="1"/>
        <v>0.2</v>
      </c>
      <c r="Q4" s="26" t="s">
        <v>101</v>
      </c>
    </row>
    <row r="5">
      <c r="A5" s="26" t="s">
        <v>49</v>
      </c>
      <c r="B5" s="26" t="s">
        <v>103</v>
      </c>
      <c r="C5" s="26" t="s">
        <v>53</v>
      </c>
      <c r="D5" s="26" t="s">
        <v>54</v>
      </c>
      <c r="E5" s="26">
        <v>1.0</v>
      </c>
      <c r="F5" s="26" t="s">
        <v>105</v>
      </c>
      <c r="G5" s="26">
        <v>1.0</v>
      </c>
      <c r="H5" s="26" t="s">
        <v>96</v>
      </c>
      <c r="I5" s="26">
        <v>1.0</v>
      </c>
      <c r="J5" s="26" t="s">
        <v>47</v>
      </c>
      <c r="K5" s="26">
        <v>0.0</v>
      </c>
      <c r="L5" s="26" t="s">
        <v>47</v>
      </c>
      <c r="M5" s="26">
        <v>0.0</v>
      </c>
      <c r="N5" s="26">
        <v>5.0</v>
      </c>
      <c r="O5" s="26">
        <v>1.0</v>
      </c>
      <c r="P5" s="26">
        <f t="shared" si="1"/>
        <v>0.2</v>
      </c>
      <c r="Q5" s="26" t="s">
        <v>112</v>
      </c>
    </row>
    <row r="6">
      <c r="A6" s="26" t="s">
        <v>49</v>
      </c>
      <c r="B6" s="26" t="s">
        <v>114</v>
      </c>
      <c r="C6" s="26" t="s">
        <v>53</v>
      </c>
      <c r="D6" s="26" t="s">
        <v>54</v>
      </c>
      <c r="E6" s="26">
        <v>1.0</v>
      </c>
      <c r="F6" s="26" t="s">
        <v>117</v>
      </c>
      <c r="G6" s="26">
        <v>1.0</v>
      </c>
      <c r="H6" s="26" t="s">
        <v>59</v>
      </c>
      <c r="I6" s="30">
        <v>1.0</v>
      </c>
      <c r="J6" s="26" t="s">
        <v>47</v>
      </c>
      <c r="K6" s="30">
        <v>0.0</v>
      </c>
      <c r="L6" s="26" t="s">
        <v>47</v>
      </c>
      <c r="M6" s="30">
        <v>0.0</v>
      </c>
      <c r="N6" s="26">
        <v>5.0</v>
      </c>
      <c r="O6" s="26">
        <v>1.0</v>
      </c>
      <c r="P6" s="26">
        <f t="shared" si="1"/>
        <v>0.2</v>
      </c>
      <c r="Q6" s="26" t="s">
        <v>128</v>
      </c>
    </row>
    <row r="7">
      <c r="A7" s="26" t="s">
        <v>49</v>
      </c>
      <c r="B7" s="26" t="s">
        <v>130</v>
      </c>
      <c r="C7" s="26" t="s">
        <v>53</v>
      </c>
      <c r="D7" s="26" t="s">
        <v>47</v>
      </c>
      <c r="E7" s="26">
        <v>0.0</v>
      </c>
      <c r="F7" s="26" t="s">
        <v>133</v>
      </c>
      <c r="G7" s="26">
        <v>1.0</v>
      </c>
      <c r="H7" s="26" t="s">
        <v>135</v>
      </c>
      <c r="I7" s="26">
        <v>1.0</v>
      </c>
      <c r="J7" s="26" t="s">
        <v>56</v>
      </c>
      <c r="K7" s="30">
        <v>1.0</v>
      </c>
      <c r="L7" s="26" t="s">
        <v>47</v>
      </c>
      <c r="M7" s="30">
        <v>0.0</v>
      </c>
      <c r="N7" s="26">
        <v>5.0</v>
      </c>
      <c r="O7" s="26">
        <v>1.0</v>
      </c>
      <c r="P7" s="26">
        <f t="shared" si="1"/>
        <v>0.2</v>
      </c>
      <c r="Q7" s="26" t="s">
        <v>140</v>
      </c>
    </row>
    <row r="8">
      <c r="A8" s="26" t="s">
        <v>49</v>
      </c>
      <c r="B8" s="26" t="s">
        <v>144</v>
      </c>
      <c r="C8" s="26" t="s">
        <v>53</v>
      </c>
      <c r="D8" s="26" t="s">
        <v>146</v>
      </c>
      <c r="E8" s="26">
        <v>1.0</v>
      </c>
      <c r="F8" s="26" t="s">
        <v>84</v>
      </c>
      <c r="G8" s="26">
        <v>1.0</v>
      </c>
      <c r="H8" s="26" t="s">
        <v>58</v>
      </c>
      <c r="I8" s="30">
        <v>1.0</v>
      </c>
      <c r="J8" s="26" t="s">
        <v>47</v>
      </c>
      <c r="K8" s="30">
        <v>0.0</v>
      </c>
      <c r="L8" s="26" t="s">
        <v>47</v>
      </c>
      <c r="M8" s="30">
        <v>0.0</v>
      </c>
      <c r="N8" s="26">
        <v>5.0</v>
      </c>
      <c r="O8" s="26">
        <v>1.0</v>
      </c>
      <c r="P8" s="26">
        <f t="shared" si="1"/>
        <v>0.2</v>
      </c>
      <c r="Q8" s="26" t="s">
        <v>161</v>
      </c>
    </row>
    <row r="9">
      <c r="A9" s="26" t="s">
        <v>49</v>
      </c>
      <c r="B9" s="26" t="s">
        <v>165</v>
      </c>
      <c r="C9" s="26" t="s">
        <v>53</v>
      </c>
      <c r="D9" s="26" t="s">
        <v>54</v>
      </c>
      <c r="E9" s="26">
        <v>1.0</v>
      </c>
      <c r="F9" s="26" t="s">
        <v>167</v>
      </c>
      <c r="G9" s="26">
        <v>1.0</v>
      </c>
      <c r="H9" s="26" t="s">
        <v>59</v>
      </c>
      <c r="I9" s="30">
        <v>1.0</v>
      </c>
      <c r="J9" s="26" t="s">
        <v>47</v>
      </c>
      <c r="K9" s="30">
        <v>0.0</v>
      </c>
      <c r="L9" s="26" t="s">
        <v>47</v>
      </c>
      <c r="M9" s="30">
        <v>0.0</v>
      </c>
      <c r="N9" s="26">
        <v>5.0</v>
      </c>
      <c r="O9" s="26">
        <v>1.0</v>
      </c>
      <c r="P9" s="26">
        <f t="shared" si="1"/>
        <v>0.2</v>
      </c>
      <c r="Q9" s="26" t="s">
        <v>173</v>
      </c>
    </row>
    <row r="10">
      <c r="A10" s="26" t="s">
        <v>49</v>
      </c>
      <c r="B10" s="26" t="s">
        <v>177</v>
      </c>
      <c r="C10" s="26" t="s">
        <v>53</v>
      </c>
      <c r="D10" s="26" t="s">
        <v>54</v>
      </c>
      <c r="E10" s="26">
        <v>1.0</v>
      </c>
      <c r="F10" s="26" t="s">
        <v>167</v>
      </c>
      <c r="G10" s="26">
        <v>1.0</v>
      </c>
      <c r="H10" s="26" t="s">
        <v>180</v>
      </c>
      <c r="I10" s="26">
        <v>1.0</v>
      </c>
      <c r="J10" s="26" t="s">
        <v>56</v>
      </c>
      <c r="K10" s="26">
        <v>1.0</v>
      </c>
      <c r="L10" s="26" t="s">
        <v>47</v>
      </c>
      <c r="M10" s="26">
        <v>0.0</v>
      </c>
      <c r="N10" s="26">
        <v>5.0</v>
      </c>
      <c r="O10" s="26">
        <v>1.0</v>
      </c>
      <c r="P10" s="26">
        <f t="shared" si="1"/>
        <v>0.2</v>
      </c>
      <c r="Q10" s="26" t="s">
        <v>185</v>
      </c>
    </row>
    <row r="11">
      <c r="A11" s="26" t="s">
        <v>49</v>
      </c>
      <c r="B11" s="26" t="s">
        <v>189</v>
      </c>
      <c r="C11" s="26" t="s">
        <v>53</v>
      </c>
      <c r="D11" s="26" t="s">
        <v>54</v>
      </c>
      <c r="E11" s="26">
        <v>1.0</v>
      </c>
      <c r="F11" s="26" t="s">
        <v>191</v>
      </c>
      <c r="G11" s="26">
        <v>1.0</v>
      </c>
      <c r="H11" s="26" t="s">
        <v>58</v>
      </c>
      <c r="I11" s="30">
        <v>1.0</v>
      </c>
      <c r="J11" s="26" t="s">
        <v>47</v>
      </c>
      <c r="K11" s="30">
        <v>0.0</v>
      </c>
      <c r="L11" s="26" t="s">
        <v>47</v>
      </c>
      <c r="M11" s="30">
        <v>0.0</v>
      </c>
      <c r="N11" s="26">
        <v>5.0</v>
      </c>
      <c r="O11" s="26">
        <v>1.0</v>
      </c>
      <c r="P11" s="26">
        <f t="shared" si="1"/>
        <v>0.2</v>
      </c>
      <c r="Q11" s="26" t="s">
        <v>193</v>
      </c>
    </row>
    <row r="12">
      <c r="A12" s="26" t="s">
        <v>49</v>
      </c>
      <c r="B12" s="26" t="s">
        <v>196</v>
      </c>
      <c r="C12" s="26" t="s">
        <v>53</v>
      </c>
      <c r="D12" s="26" t="s">
        <v>47</v>
      </c>
      <c r="E12" s="26">
        <v>0.0</v>
      </c>
      <c r="F12" s="26" t="s">
        <v>197</v>
      </c>
      <c r="G12" s="26">
        <v>1.0</v>
      </c>
      <c r="H12" s="26" t="s">
        <v>180</v>
      </c>
      <c r="I12" s="30">
        <v>1.0</v>
      </c>
      <c r="J12" s="26" t="s">
        <v>167</v>
      </c>
      <c r="K12" s="26">
        <v>1.0</v>
      </c>
      <c r="L12" s="26" t="s">
        <v>202</v>
      </c>
      <c r="M12" s="26">
        <v>1.0</v>
      </c>
      <c r="N12" s="26">
        <v>5.0</v>
      </c>
      <c r="O12" s="26">
        <v>1.0</v>
      </c>
      <c r="P12" s="26">
        <f t="shared" si="1"/>
        <v>0.2</v>
      </c>
      <c r="Q12" s="26" t="s">
        <v>205</v>
      </c>
    </row>
    <row r="13">
      <c r="A13" s="26" t="s">
        <v>49</v>
      </c>
      <c r="B13" s="26" t="s">
        <v>208</v>
      </c>
      <c r="C13" s="26" t="s">
        <v>53</v>
      </c>
      <c r="D13" s="26" t="s">
        <v>54</v>
      </c>
      <c r="E13" s="26">
        <v>1.0</v>
      </c>
      <c r="F13" s="26" t="s">
        <v>191</v>
      </c>
      <c r="G13" s="26">
        <v>1.0</v>
      </c>
      <c r="H13" s="26" t="s">
        <v>133</v>
      </c>
      <c r="I13" s="30">
        <v>1.0</v>
      </c>
      <c r="J13" s="26" t="s">
        <v>56</v>
      </c>
      <c r="K13" s="26">
        <v>1.0</v>
      </c>
      <c r="L13" s="26" t="s">
        <v>202</v>
      </c>
      <c r="M13" s="26">
        <v>1.0</v>
      </c>
      <c r="N13" s="26">
        <v>5.0</v>
      </c>
      <c r="O13" s="26">
        <v>1.0</v>
      </c>
      <c r="P13" s="26">
        <f t="shared" si="1"/>
        <v>0.2</v>
      </c>
      <c r="Q13" s="26" t="s">
        <v>217</v>
      </c>
    </row>
    <row r="14">
      <c r="A14" s="26" t="s">
        <v>49</v>
      </c>
      <c r="B14" s="26" t="s">
        <v>221</v>
      </c>
      <c r="C14" s="26" t="s">
        <v>53</v>
      </c>
      <c r="D14" s="26" t="s">
        <v>47</v>
      </c>
      <c r="E14" s="26">
        <v>0.0</v>
      </c>
      <c r="F14" s="26" t="s">
        <v>135</v>
      </c>
      <c r="G14" s="26">
        <v>1.0</v>
      </c>
      <c r="H14" s="26" t="s">
        <v>224</v>
      </c>
      <c r="I14" s="30">
        <v>1.0</v>
      </c>
      <c r="J14" s="26" t="s">
        <v>59</v>
      </c>
      <c r="K14" s="26">
        <v>1.0</v>
      </c>
      <c r="L14" s="26" t="s">
        <v>47</v>
      </c>
      <c r="M14" s="26">
        <v>0.0</v>
      </c>
      <c r="N14" s="26">
        <v>5.0</v>
      </c>
      <c r="O14" s="26">
        <v>1.0</v>
      </c>
      <c r="P14" s="26">
        <f t="shared" si="1"/>
        <v>0.2</v>
      </c>
      <c r="Q14" s="26" t="s">
        <v>229</v>
      </c>
    </row>
    <row r="15">
      <c r="A15" s="26" t="s">
        <v>49</v>
      </c>
      <c r="B15" s="26" t="s">
        <v>231</v>
      </c>
      <c r="C15" s="26" t="s">
        <v>53</v>
      </c>
      <c r="D15" s="26" t="s">
        <v>160</v>
      </c>
      <c r="E15" s="26">
        <v>1.0</v>
      </c>
      <c r="F15" s="26" t="s">
        <v>224</v>
      </c>
      <c r="G15" s="26">
        <v>1.0</v>
      </c>
      <c r="H15" s="26" t="s">
        <v>59</v>
      </c>
      <c r="I15" s="30">
        <v>1.0</v>
      </c>
      <c r="J15" s="26" t="s">
        <v>47</v>
      </c>
      <c r="K15" s="26">
        <v>0.0</v>
      </c>
      <c r="L15" s="26" t="s">
        <v>47</v>
      </c>
      <c r="M15" s="26">
        <v>0.0</v>
      </c>
      <c r="N15" s="26">
        <v>5.0</v>
      </c>
      <c r="O15" s="26">
        <v>1.0</v>
      </c>
      <c r="P15" s="26">
        <f t="shared" si="1"/>
        <v>0.2</v>
      </c>
      <c r="Q15" s="26" t="s">
        <v>235</v>
      </c>
    </row>
    <row r="16">
      <c r="A16" s="26" t="s">
        <v>49</v>
      </c>
      <c r="B16" s="26" t="s">
        <v>236</v>
      </c>
      <c r="C16" s="26" t="s">
        <v>53</v>
      </c>
      <c r="D16" s="26" t="s">
        <v>238</v>
      </c>
      <c r="E16" s="26">
        <v>1.0</v>
      </c>
      <c r="F16" s="26" t="s">
        <v>224</v>
      </c>
      <c r="G16" s="26">
        <v>1.0</v>
      </c>
      <c r="H16" s="26" t="s">
        <v>56</v>
      </c>
      <c r="I16" s="30">
        <v>1.0</v>
      </c>
      <c r="J16" s="26" t="s">
        <v>47</v>
      </c>
      <c r="K16" s="26">
        <v>0.0</v>
      </c>
      <c r="L16" s="26" t="s">
        <v>47</v>
      </c>
      <c r="M16" s="26">
        <v>0.0</v>
      </c>
      <c r="N16" s="26">
        <v>5.0</v>
      </c>
      <c r="O16" s="26">
        <v>1.0</v>
      </c>
      <c r="P16" s="26">
        <f t="shared" si="1"/>
        <v>0.2</v>
      </c>
      <c r="Q16" s="26" t="s">
        <v>245</v>
      </c>
    </row>
    <row r="17">
      <c r="A17" s="26" t="s">
        <v>49</v>
      </c>
      <c r="B17" s="26" t="s">
        <v>246</v>
      </c>
      <c r="C17" s="26" t="s">
        <v>53</v>
      </c>
      <c r="D17" s="26" t="s">
        <v>238</v>
      </c>
      <c r="E17" s="26">
        <v>1.0</v>
      </c>
      <c r="F17" s="26" t="s">
        <v>224</v>
      </c>
      <c r="G17" s="26">
        <v>1.0</v>
      </c>
      <c r="H17" s="26" t="s">
        <v>59</v>
      </c>
      <c r="I17" s="30">
        <v>1.0</v>
      </c>
      <c r="J17" s="26" t="s">
        <v>47</v>
      </c>
      <c r="K17" s="26">
        <v>0.0</v>
      </c>
      <c r="L17" s="26" t="s">
        <v>47</v>
      </c>
      <c r="M17" s="26">
        <v>0.0</v>
      </c>
      <c r="N17" s="26">
        <v>5.0</v>
      </c>
      <c r="O17" s="26">
        <v>1.0</v>
      </c>
      <c r="P17" s="26">
        <f t="shared" si="1"/>
        <v>0.2</v>
      </c>
      <c r="Q17" s="26" t="s">
        <v>250</v>
      </c>
    </row>
    <row r="18">
      <c r="A18" s="16" t="s">
        <v>251</v>
      </c>
      <c r="B18" s="16" t="s">
        <v>252</v>
      </c>
      <c r="C18" s="16" t="s">
        <v>53</v>
      </c>
      <c r="D18" s="16" t="s">
        <v>253</v>
      </c>
      <c r="E18" s="16">
        <v>1.0</v>
      </c>
      <c r="F18" s="16" t="s">
        <v>243</v>
      </c>
      <c r="G18" s="16">
        <v>1.0</v>
      </c>
      <c r="H18" s="16" t="s">
        <v>255</v>
      </c>
      <c r="I18" s="16">
        <v>1.0</v>
      </c>
      <c r="J18" s="16" t="s">
        <v>47</v>
      </c>
      <c r="K18" s="16">
        <v>0.0</v>
      </c>
      <c r="L18" s="16" t="s">
        <v>47</v>
      </c>
      <c r="M18" s="16">
        <v>0.0</v>
      </c>
      <c r="N18" s="16">
        <v>5.0</v>
      </c>
      <c r="O18" s="16">
        <v>1.0</v>
      </c>
      <c r="P18" s="16">
        <f t="shared" si="1"/>
        <v>0.2</v>
      </c>
      <c r="Q18" s="16" t="s">
        <v>257</v>
      </c>
    </row>
    <row r="19">
      <c r="A19" s="26" t="s">
        <v>251</v>
      </c>
      <c r="B19" s="26" t="s">
        <v>259</v>
      </c>
      <c r="C19" s="26" t="s">
        <v>53</v>
      </c>
      <c r="D19" s="26" t="s">
        <v>260</v>
      </c>
      <c r="E19" s="26">
        <v>1.0</v>
      </c>
      <c r="F19" s="26" t="s">
        <v>156</v>
      </c>
      <c r="G19" s="26">
        <v>1.0</v>
      </c>
      <c r="H19" s="26" t="s">
        <v>262</v>
      </c>
      <c r="I19" s="26">
        <v>1.0</v>
      </c>
      <c r="J19" s="26" t="s">
        <v>264</v>
      </c>
      <c r="K19" s="26">
        <v>1.0</v>
      </c>
      <c r="L19" s="26" t="s">
        <v>47</v>
      </c>
      <c r="M19" s="26">
        <v>0.0</v>
      </c>
      <c r="N19" s="26">
        <v>5.0</v>
      </c>
      <c r="O19" s="26">
        <v>1.0</v>
      </c>
      <c r="P19" s="26">
        <f t="shared" si="1"/>
        <v>0.2</v>
      </c>
      <c r="Q19" s="26" t="s">
        <v>265</v>
      </c>
    </row>
    <row r="20">
      <c r="A20" s="26" t="s">
        <v>251</v>
      </c>
      <c r="B20" s="26" t="s">
        <v>266</v>
      </c>
      <c r="C20" s="26" t="s">
        <v>53</v>
      </c>
      <c r="D20" s="26" t="s">
        <v>47</v>
      </c>
      <c r="E20" s="26">
        <v>0.0</v>
      </c>
      <c r="F20" s="26" t="s">
        <v>243</v>
      </c>
      <c r="G20" s="26">
        <v>1.0</v>
      </c>
      <c r="H20" s="26" t="s">
        <v>135</v>
      </c>
      <c r="I20" s="26">
        <v>1.0</v>
      </c>
      <c r="J20" s="26" t="s">
        <v>255</v>
      </c>
      <c r="K20" s="26">
        <v>1.0</v>
      </c>
      <c r="L20" s="26" t="s">
        <v>58</v>
      </c>
      <c r="M20" s="26">
        <v>1.0</v>
      </c>
      <c r="N20" s="26">
        <v>5.0</v>
      </c>
      <c r="O20" s="26">
        <v>1.0</v>
      </c>
      <c r="P20" s="26">
        <f t="shared" si="1"/>
        <v>0.2</v>
      </c>
      <c r="Q20" s="26" t="s">
        <v>269</v>
      </c>
    </row>
    <row r="21">
      <c r="A21" s="26" t="s">
        <v>251</v>
      </c>
      <c r="B21" s="26" t="s">
        <v>271</v>
      </c>
      <c r="C21" s="26" t="s">
        <v>53</v>
      </c>
      <c r="D21" s="26" t="s">
        <v>146</v>
      </c>
      <c r="E21" s="26">
        <v>1.0</v>
      </c>
      <c r="F21" s="26" t="s">
        <v>243</v>
      </c>
      <c r="G21" s="26">
        <v>1.0</v>
      </c>
      <c r="H21" s="26" t="s">
        <v>180</v>
      </c>
      <c r="I21" s="26">
        <v>1.0</v>
      </c>
      <c r="J21" s="26" t="s">
        <v>47</v>
      </c>
      <c r="K21" s="26">
        <v>0.0</v>
      </c>
      <c r="L21" s="26" t="s">
        <v>47</v>
      </c>
      <c r="M21" s="26">
        <v>0.0</v>
      </c>
      <c r="N21" s="26">
        <v>5.0</v>
      </c>
      <c r="O21" s="26">
        <v>1.0</v>
      </c>
      <c r="P21" s="26">
        <f t="shared" si="1"/>
        <v>0.2</v>
      </c>
      <c r="Q21" s="26" t="s">
        <v>276</v>
      </c>
    </row>
    <row r="22">
      <c r="A22" s="26" t="s">
        <v>251</v>
      </c>
      <c r="B22" s="26" t="s">
        <v>277</v>
      </c>
      <c r="C22" s="26" t="s">
        <v>53</v>
      </c>
      <c r="D22" s="26" t="s">
        <v>47</v>
      </c>
      <c r="E22" s="26">
        <v>0.0</v>
      </c>
      <c r="F22" s="26" t="s">
        <v>243</v>
      </c>
      <c r="G22" s="26">
        <v>1.0</v>
      </c>
      <c r="H22" s="26" t="s">
        <v>278</v>
      </c>
      <c r="I22" s="30">
        <v>1.0</v>
      </c>
      <c r="J22" s="26" t="s">
        <v>96</v>
      </c>
      <c r="K22" s="30">
        <v>1.0</v>
      </c>
      <c r="L22" s="26" t="s">
        <v>224</v>
      </c>
      <c r="M22" s="30">
        <v>1.0</v>
      </c>
      <c r="N22" s="26">
        <v>5.0</v>
      </c>
      <c r="O22" s="26">
        <v>1.0</v>
      </c>
      <c r="P22" s="26">
        <f t="shared" si="1"/>
        <v>0.2</v>
      </c>
      <c r="Q22" s="26" t="s">
        <v>279</v>
      </c>
    </row>
    <row r="23">
      <c r="A23" s="26" t="s">
        <v>251</v>
      </c>
      <c r="B23" s="26" t="s">
        <v>281</v>
      </c>
      <c r="C23" s="26" t="s">
        <v>53</v>
      </c>
      <c r="D23" s="26" t="s">
        <v>260</v>
      </c>
      <c r="E23" s="26">
        <v>1.0</v>
      </c>
      <c r="F23" s="26" t="s">
        <v>243</v>
      </c>
      <c r="G23" s="26">
        <v>1.0</v>
      </c>
      <c r="H23" s="26" t="s">
        <v>282</v>
      </c>
      <c r="I23" s="26">
        <v>1.0</v>
      </c>
      <c r="J23" s="26" t="s">
        <v>47</v>
      </c>
      <c r="K23" s="30">
        <v>0.0</v>
      </c>
      <c r="L23" s="26" t="s">
        <v>47</v>
      </c>
      <c r="M23" s="30">
        <v>0.0</v>
      </c>
      <c r="N23" s="26">
        <v>5.0</v>
      </c>
      <c r="O23" s="26">
        <v>1.0</v>
      </c>
      <c r="P23" s="26">
        <f t="shared" si="1"/>
        <v>0.2</v>
      </c>
      <c r="Q23" s="26" t="s">
        <v>284</v>
      </c>
    </row>
    <row r="24">
      <c r="A24" s="26" t="s">
        <v>251</v>
      </c>
      <c r="B24" s="26" t="s">
        <v>285</v>
      </c>
      <c r="C24" s="26" t="s">
        <v>53</v>
      </c>
      <c r="D24" s="26" t="s">
        <v>163</v>
      </c>
      <c r="E24" s="26">
        <v>1.0</v>
      </c>
      <c r="F24" s="26" t="s">
        <v>264</v>
      </c>
      <c r="G24" s="26">
        <v>1.0</v>
      </c>
      <c r="H24" s="26" t="s">
        <v>286</v>
      </c>
      <c r="I24" s="30">
        <v>1.0</v>
      </c>
      <c r="J24" s="26" t="s">
        <v>255</v>
      </c>
      <c r="K24" s="30">
        <v>1.0</v>
      </c>
      <c r="L24" s="26" t="s">
        <v>135</v>
      </c>
      <c r="M24" s="30">
        <v>1.0</v>
      </c>
      <c r="N24" s="26">
        <v>5.0</v>
      </c>
      <c r="O24" s="26">
        <v>1.0</v>
      </c>
      <c r="P24" s="26">
        <v>0.2</v>
      </c>
      <c r="Q24" s="26" t="s">
        <v>288</v>
      </c>
    </row>
    <row r="25">
      <c r="A25" s="26" t="s">
        <v>251</v>
      </c>
      <c r="B25" s="26" t="s">
        <v>289</v>
      </c>
      <c r="C25" s="26" t="s">
        <v>53</v>
      </c>
      <c r="D25" s="26" t="s">
        <v>290</v>
      </c>
      <c r="E25" s="26">
        <v>1.0</v>
      </c>
      <c r="F25" s="26" t="s">
        <v>264</v>
      </c>
      <c r="G25" s="26">
        <v>1.0</v>
      </c>
      <c r="H25" s="26" t="s">
        <v>286</v>
      </c>
      <c r="I25" s="30">
        <v>1.0</v>
      </c>
      <c r="J25" s="26" t="s">
        <v>255</v>
      </c>
      <c r="K25" s="30">
        <v>1.0</v>
      </c>
      <c r="L25" s="26" t="s">
        <v>291</v>
      </c>
      <c r="M25" s="30">
        <v>1.0</v>
      </c>
      <c r="N25" s="26">
        <v>5.0</v>
      </c>
      <c r="O25" s="26">
        <v>1.0</v>
      </c>
      <c r="P25" s="26">
        <v>0.2</v>
      </c>
      <c r="Q25" s="26" t="s">
        <v>293</v>
      </c>
    </row>
    <row r="26">
      <c r="A26" s="26" t="s">
        <v>251</v>
      </c>
      <c r="B26" s="26" t="s">
        <v>294</v>
      </c>
      <c r="C26" s="26" t="s">
        <v>53</v>
      </c>
      <c r="D26" s="26" t="s">
        <v>47</v>
      </c>
      <c r="E26" s="26">
        <v>0.0</v>
      </c>
      <c r="F26" s="26" t="s">
        <v>295</v>
      </c>
      <c r="G26" s="26">
        <v>1.0</v>
      </c>
      <c r="H26" s="26" t="s">
        <v>282</v>
      </c>
      <c r="I26" s="26">
        <v>1.0</v>
      </c>
      <c r="J26" s="26" t="s">
        <v>296</v>
      </c>
      <c r="K26" s="26">
        <v>1.0</v>
      </c>
      <c r="L26" s="26" t="s">
        <v>243</v>
      </c>
      <c r="M26" s="26">
        <v>1.0</v>
      </c>
      <c r="N26" s="26">
        <v>5.0</v>
      </c>
      <c r="O26" s="26">
        <v>1.0</v>
      </c>
      <c r="P26" s="26">
        <v>0.2</v>
      </c>
      <c r="Q26" s="26" t="s">
        <v>298</v>
      </c>
    </row>
    <row r="27">
      <c r="A27" s="26" t="s">
        <v>251</v>
      </c>
      <c r="B27" s="26" t="s">
        <v>299</v>
      </c>
      <c r="C27" s="26" t="s">
        <v>53</v>
      </c>
      <c r="D27" s="26" t="s">
        <v>290</v>
      </c>
      <c r="E27" s="26">
        <v>1.0</v>
      </c>
      <c r="F27" s="26" t="s">
        <v>295</v>
      </c>
      <c r="G27" s="26">
        <v>1.0</v>
      </c>
      <c r="H27" s="26" t="s">
        <v>300</v>
      </c>
      <c r="I27" s="30">
        <v>1.0</v>
      </c>
      <c r="J27" s="26" t="s">
        <v>301</v>
      </c>
      <c r="K27" s="30">
        <v>1.0</v>
      </c>
      <c r="L27" s="26" t="s">
        <v>291</v>
      </c>
      <c r="M27" s="30">
        <v>1.0</v>
      </c>
      <c r="N27" s="26">
        <v>5.0</v>
      </c>
      <c r="O27" s="26">
        <v>1.0</v>
      </c>
      <c r="P27" s="26">
        <f>O27/N27</f>
        <v>0.2</v>
      </c>
      <c r="Q27" s="26" t="s">
        <v>304</v>
      </c>
    </row>
    <row r="28">
      <c r="A28" s="26" t="s">
        <v>251</v>
      </c>
      <c r="B28" s="26" t="s">
        <v>305</v>
      </c>
      <c r="C28" s="26" t="s">
        <v>53</v>
      </c>
      <c r="D28" s="26" t="s">
        <v>47</v>
      </c>
      <c r="E28" s="26">
        <v>0.0</v>
      </c>
      <c r="F28" s="26" t="s">
        <v>306</v>
      </c>
      <c r="G28" s="26">
        <v>1.0</v>
      </c>
      <c r="H28" s="26" t="s">
        <v>84</v>
      </c>
      <c r="I28" s="30">
        <v>1.0</v>
      </c>
      <c r="J28" s="26" t="s">
        <v>307</v>
      </c>
      <c r="K28" s="26">
        <v>1.0</v>
      </c>
      <c r="L28" s="26" t="s">
        <v>291</v>
      </c>
      <c r="M28" s="26">
        <v>1.0</v>
      </c>
      <c r="N28" s="26">
        <v>5.0</v>
      </c>
      <c r="O28" s="26">
        <v>1.0</v>
      </c>
      <c r="P28" s="26">
        <v>0.2</v>
      </c>
      <c r="Q28" s="26" t="s">
        <v>310</v>
      </c>
    </row>
    <row r="29">
      <c r="A29" s="26" t="s">
        <v>251</v>
      </c>
      <c r="B29" s="26" t="s">
        <v>311</v>
      </c>
      <c r="C29" s="26" t="s">
        <v>53</v>
      </c>
      <c r="D29" s="26" t="s">
        <v>238</v>
      </c>
      <c r="E29" s="26">
        <v>1.0</v>
      </c>
      <c r="F29" s="26" t="s">
        <v>282</v>
      </c>
      <c r="G29" s="26">
        <v>1.0</v>
      </c>
      <c r="H29" s="26" t="s">
        <v>312</v>
      </c>
      <c r="I29" s="30">
        <v>1.0</v>
      </c>
      <c r="J29" s="26" t="s">
        <v>47</v>
      </c>
      <c r="K29" s="26">
        <v>0.0</v>
      </c>
      <c r="L29" s="26" t="s">
        <v>47</v>
      </c>
      <c r="M29" s="26">
        <v>0.0</v>
      </c>
      <c r="N29" s="26">
        <v>5.0</v>
      </c>
      <c r="O29" s="26">
        <v>1.0</v>
      </c>
      <c r="P29" s="26">
        <v>0.2</v>
      </c>
      <c r="Q29" s="26" t="s">
        <v>315</v>
      </c>
    </row>
    <row r="30">
      <c r="A30" s="26" t="s">
        <v>251</v>
      </c>
      <c r="B30" s="26" t="s">
        <v>316</v>
      </c>
      <c r="C30" s="26" t="s">
        <v>53</v>
      </c>
      <c r="D30" s="26" t="s">
        <v>290</v>
      </c>
      <c r="E30" s="26">
        <v>1.0</v>
      </c>
      <c r="F30" s="26" t="s">
        <v>156</v>
      </c>
      <c r="G30" s="26">
        <v>1.0</v>
      </c>
      <c r="H30" s="26" t="s">
        <v>318</v>
      </c>
      <c r="I30" s="30">
        <v>1.0</v>
      </c>
      <c r="J30" s="26" t="s">
        <v>319</v>
      </c>
      <c r="K30" s="26">
        <v>1.0</v>
      </c>
      <c r="L30" s="26" t="s">
        <v>286</v>
      </c>
      <c r="M30" s="26">
        <v>1.0</v>
      </c>
      <c r="N30" s="26">
        <v>5.0</v>
      </c>
      <c r="O30" s="26">
        <v>1.0</v>
      </c>
      <c r="P30" s="26">
        <v>0.2</v>
      </c>
      <c r="Q30" s="26" t="s">
        <v>322</v>
      </c>
    </row>
    <row r="31">
      <c r="A31" s="26" t="s">
        <v>251</v>
      </c>
      <c r="B31" s="26" t="s">
        <v>323</v>
      </c>
      <c r="C31" s="26" t="s">
        <v>53</v>
      </c>
      <c r="D31" s="26" t="s">
        <v>47</v>
      </c>
      <c r="E31" s="26">
        <v>0.0</v>
      </c>
      <c r="F31" s="26" t="s">
        <v>325</v>
      </c>
      <c r="G31" s="26">
        <v>1.0</v>
      </c>
      <c r="H31" s="26" t="s">
        <v>300</v>
      </c>
      <c r="I31" s="30">
        <v>1.0</v>
      </c>
      <c r="J31" s="26" t="s">
        <v>286</v>
      </c>
      <c r="K31" s="26">
        <v>1.0</v>
      </c>
      <c r="L31" s="26" t="s">
        <v>47</v>
      </c>
      <c r="M31" s="26">
        <v>0.0</v>
      </c>
      <c r="N31" s="26">
        <v>5.0</v>
      </c>
      <c r="O31" s="26">
        <v>1.0</v>
      </c>
      <c r="P31" s="26">
        <f t="shared" ref="P31:P32" si="2">O31/N31</f>
        <v>0.2</v>
      </c>
      <c r="Q31" s="26" t="s">
        <v>328</v>
      </c>
    </row>
    <row r="32">
      <c r="A32" s="26" t="s">
        <v>251</v>
      </c>
      <c r="B32" s="26" t="s">
        <v>329</v>
      </c>
      <c r="C32" s="26" t="s">
        <v>53</v>
      </c>
      <c r="D32" s="26" t="s">
        <v>238</v>
      </c>
      <c r="E32" s="26">
        <v>1.0</v>
      </c>
      <c r="F32" s="26" t="s">
        <v>295</v>
      </c>
      <c r="G32" s="26">
        <v>1.0</v>
      </c>
      <c r="H32" s="26" t="s">
        <v>331</v>
      </c>
      <c r="I32" s="30">
        <v>1.0</v>
      </c>
      <c r="J32" s="26" t="s">
        <v>312</v>
      </c>
      <c r="K32" s="26">
        <v>1.0</v>
      </c>
      <c r="L32" s="26" t="s">
        <v>47</v>
      </c>
      <c r="M32" s="26">
        <v>0.0</v>
      </c>
      <c r="N32" s="26">
        <v>5.0</v>
      </c>
      <c r="O32" s="26">
        <v>1.0</v>
      </c>
      <c r="P32" s="26">
        <f t="shared" si="2"/>
        <v>0.2</v>
      </c>
      <c r="Q32" s="26" t="s">
        <v>333</v>
      </c>
    </row>
    <row r="33">
      <c r="A33" s="26" t="s">
        <v>251</v>
      </c>
      <c r="B33" s="26" t="s">
        <v>334</v>
      </c>
      <c r="C33" s="26" t="s">
        <v>53</v>
      </c>
      <c r="D33" s="26" t="s">
        <v>54</v>
      </c>
      <c r="E33" s="26">
        <v>1.0</v>
      </c>
      <c r="F33" s="26" t="s">
        <v>306</v>
      </c>
      <c r="G33" s="26">
        <v>1.0</v>
      </c>
      <c r="H33" s="26" t="s">
        <v>307</v>
      </c>
      <c r="I33" s="30">
        <v>1.0</v>
      </c>
      <c r="J33" s="26" t="s">
        <v>331</v>
      </c>
      <c r="K33" s="26">
        <v>1.0</v>
      </c>
      <c r="L33" s="26" t="s">
        <v>202</v>
      </c>
      <c r="M33" s="26">
        <v>1.0</v>
      </c>
      <c r="N33" s="26">
        <v>5.0</v>
      </c>
      <c r="O33" s="26">
        <v>1.0</v>
      </c>
      <c r="P33" s="26">
        <v>0.2</v>
      </c>
      <c r="Q33" s="26" t="s">
        <v>338</v>
      </c>
    </row>
    <row r="34">
      <c r="A34" s="26" t="s">
        <v>251</v>
      </c>
      <c r="B34" s="26" t="s">
        <v>339</v>
      </c>
      <c r="C34" s="26" t="s">
        <v>53</v>
      </c>
      <c r="D34" s="26" t="s">
        <v>290</v>
      </c>
      <c r="E34" s="26">
        <v>1.0</v>
      </c>
      <c r="F34" s="26" t="s">
        <v>340</v>
      </c>
      <c r="G34" s="26">
        <v>1.0</v>
      </c>
      <c r="H34" s="26" t="s">
        <v>342</v>
      </c>
      <c r="I34" s="30">
        <v>1.0</v>
      </c>
      <c r="J34" s="26" t="s">
        <v>47</v>
      </c>
      <c r="K34" s="26">
        <v>0.0</v>
      </c>
      <c r="L34" s="26" t="s">
        <v>47</v>
      </c>
      <c r="M34" s="26">
        <v>0.0</v>
      </c>
      <c r="N34" s="26">
        <v>5.0</v>
      </c>
      <c r="O34" s="26">
        <v>1.0</v>
      </c>
      <c r="P34" s="26">
        <f t="shared" ref="P34:P39" si="3">O34/N34</f>
        <v>0.2</v>
      </c>
      <c r="Q34" s="26" t="s">
        <v>345</v>
      </c>
    </row>
    <row r="35">
      <c r="A35" s="26" t="s">
        <v>251</v>
      </c>
      <c r="B35" s="26" t="s">
        <v>346</v>
      </c>
      <c r="C35" s="26" t="s">
        <v>53</v>
      </c>
      <c r="D35" s="26" t="s">
        <v>47</v>
      </c>
      <c r="E35" s="26">
        <v>0.0</v>
      </c>
      <c r="F35" s="26" t="s">
        <v>96</v>
      </c>
      <c r="G35" s="26">
        <v>1.0</v>
      </c>
      <c r="H35" s="26" t="s">
        <v>243</v>
      </c>
      <c r="I35" s="30">
        <v>1.0</v>
      </c>
      <c r="J35" s="26" t="s">
        <v>342</v>
      </c>
      <c r="K35" s="26">
        <v>1.0</v>
      </c>
      <c r="L35" s="26" t="s">
        <v>340</v>
      </c>
      <c r="M35" s="26">
        <v>1.0</v>
      </c>
      <c r="N35" s="26">
        <v>5.0</v>
      </c>
      <c r="O35" s="26">
        <v>1.0</v>
      </c>
      <c r="P35" s="26">
        <f t="shared" si="3"/>
        <v>0.2</v>
      </c>
      <c r="Q35" s="26" t="s">
        <v>350</v>
      </c>
    </row>
    <row r="36">
      <c r="A36" s="26" t="s">
        <v>251</v>
      </c>
      <c r="B36" s="26" t="s">
        <v>352</v>
      </c>
      <c r="C36" s="26" t="s">
        <v>53</v>
      </c>
      <c r="D36" s="26" t="s">
        <v>54</v>
      </c>
      <c r="E36" s="26">
        <v>1.0</v>
      </c>
      <c r="F36" s="26" t="s">
        <v>243</v>
      </c>
      <c r="G36" s="26">
        <v>1.0</v>
      </c>
      <c r="H36" s="26" t="s">
        <v>342</v>
      </c>
      <c r="I36" s="30">
        <v>1.0</v>
      </c>
      <c r="J36" s="26" t="s">
        <v>351</v>
      </c>
      <c r="K36" s="26">
        <v>1.0</v>
      </c>
      <c r="L36" s="26" t="s">
        <v>340</v>
      </c>
      <c r="M36" s="26">
        <v>1.0</v>
      </c>
      <c r="N36" s="26">
        <v>5.0</v>
      </c>
      <c r="O36" s="26">
        <v>1.0</v>
      </c>
      <c r="P36" s="26">
        <f t="shared" si="3"/>
        <v>0.2</v>
      </c>
      <c r="Q36" s="26" t="s">
        <v>355</v>
      </c>
    </row>
    <row r="37">
      <c r="A37" s="16" t="s">
        <v>251</v>
      </c>
      <c r="B37" s="16" t="s">
        <v>356</v>
      </c>
      <c r="C37" s="16" t="s">
        <v>53</v>
      </c>
      <c r="D37" s="16" t="s">
        <v>54</v>
      </c>
      <c r="E37" s="16">
        <v>1.0</v>
      </c>
      <c r="F37" s="16" t="s">
        <v>197</v>
      </c>
      <c r="G37" s="16">
        <v>1.0</v>
      </c>
      <c r="H37" s="16" t="s">
        <v>96</v>
      </c>
      <c r="I37" s="16">
        <v>1.0</v>
      </c>
      <c r="J37" s="16" t="s">
        <v>342</v>
      </c>
      <c r="K37" s="16">
        <v>1.0</v>
      </c>
      <c r="L37" s="16" t="s">
        <v>319</v>
      </c>
      <c r="M37" s="16">
        <v>1.0</v>
      </c>
      <c r="N37" s="16">
        <v>5.0</v>
      </c>
      <c r="O37" s="16">
        <v>1.0</v>
      </c>
      <c r="P37" s="16">
        <f t="shared" si="3"/>
        <v>0.2</v>
      </c>
      <c r="Q37" s="16" t="s">
        <v>360</v>
      </c>
    </row>
    <row r="38">
      <c r="A38" s="26" t="s">
        <v>251</v>
      </c>
      <c r="B38" s="26" t="s">
        <v>361</v>
      </c>
      <c r="C38" s="26" t="s">
        <v>53</v>
      </c>
      <c r="D38" s="26" t="s">
        <v>163</v>
      </c>
      <c r="E38" s="26">
        <v>1.0</v>
      </c>
      <c r="F38" s="26" t="s">
        <v>325</v>
      </c>
      <c r="G38" s="26">
        <v>1.0</v>
      </c>
      <c r="H38" s="26" t="s">
        <v>278</v>
      </c>
      <c r="I38" s="26">
        <v>1.0</v>
      </c>
      <c r="J38" s="26" t="s">
        <v>286</v>
      </c>
      <c r="K38" s="26">
        <v>1.0</v>
      </c>
      <c r="L38" s="26" t="s">
        <v>255</v>
      </c>
      <c r="M38" s="26">
        <v>1.0</v>
      </c>
      <c r="N38" s="26">
        <v>5.0</v>
      </c>
      <c r="O38" s="26">
        <v>1.0</v>
      </c>
      <c r="P38" s="26">
        <f t="shared" si="3"/>
        <v>0.2</v>
      </c>
      <c r="Q38" s="26" t="s">
        <v>364</v>
      </c>
    </row>
    <row r="39">
      <c r="A39" s="26" t="s">
        <v>367</v>
      </c>
      <c r="B39" s="26" t="s">
        <v>368</v>
      </c>
      <c r="C39" s="26" t="s">
        <v>53</v>
      </c>
      <c r="D39" s="26" t="s">
        <v>369</v>
      </c>
      <c r="E39" s="26">
        <v>1.0</v>
      </c>
      <c r="F39" s="26" t="s">
        <v>325</v>
      </c>
      <c r="G39" s="26">
        <v>1.0</v>
      </c>
      <c r="H39" s="26" t="s">
        <v>370</v>
      </c>
      <c r="I39" s="30">
        <v>1.0</v>
      </c>
      <c r="J39" s="26" t="s">
        <v>371</v>
      </c>
      <c r="K39" s="26">
        <v>1.0</v>
      </c>
      <c r="L39" s="26" t="s">
        <v>372</v>
      </c>
      <c r="M39" s="26">
        <v>1.0</v>
      </c>
      <c r="N39" s="26">
        <v>5.0</v>
      </c>
      <c r="O39" s="26">
        <v>1.0</v>
      </c>
      <c r="P39" s="26">
        <f t="shared" si="3"/>
        <v>0.2</v>
      </c>
      <c r="Q39" s="26" t="s">
        <v>374</v>
      </c>
    </row>
    <row r="40">
      <c r="A40" s="45" t="s">
        <v>367</v>
      </c>
      <c r="B40" s="45" t="s">
        <v>375</v>
      </c>
      <c r="C40" s="45" t="s">
        <v>53</v>
      </c>
      <c r="D40" s="45" t="s">
        <v>47</v>
      </c>
      <c r="E40" s="61">
        <v>0.0</v>
      </c>
      <c r="F40" s="45" t="s">
        <v>378</v>
      </c>
      <c r="G40" s="61">
        <v>1.0</v>
      </c>
      <c r="H40" s="45" t="s">
        <v>379</v>
      </c>
      <c r="I40" s="61">
        <v>1.0</v>
      </c>
      <c r="J40" s="45" t="s">
        <v>380</v>
      </c>
      <c r="K40" s="61">
        <v>1.0</v>
      </c>
      <c r="L40" s="45" t="s">
        <v>47</v>
      </c>
      <c r="M40" s="61">
        <v>0.0</v>
      </c>
      <c r="N40" s="61">
        <v>5.0</v>
      </c>
      <c r="O40" s="61">
        <v>1.0</v>
      </c>
      <c r="P40" s="61">
        <v>0.2</v>
      </c>
      <c r="Q40" s="45" t="s">
        <v>382</v>
      </c>
    </row>
  </sheetData>
  <conditionalFormatting sqref="A2:P11 A18:P27 A37:P38">
    <cfRule type="expression" dxfId="4" priority="1" stopIfTrue="1">
      <formula>ISEVEN(ROW())</formula>
    </cfRule>
  </conditionalFormatting>
  <conditionalFormatting sqref="A2:P11 A18:P27 A37:P38">
    <cfRule type="expression" dxfId="5" priority="2" stopIfTrue="1">
      <formula>ISODD(ROW())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6.0"/>
    <col customWidth="1" min="3" max="3" width="15.63"/>
    <col customWidth="1" min="4" max="4" width="46.0"/>
  </cols>
  <sheetData>
    <row r="1">
      <c r="A1" s="67" t="s">
        <v>487</v>
      </c>
      <c r="B1" s="67" t="s">
        <v>488</v>
      </c>
      <c r="C1" s="67" t="s">
        <v>489</v>
      </c>
      <c r="D1" s="67" t="s">
        <v>490</v>
      </c>
    </row>
    <row r="2" ht="37.5" customHeight="1">
      <c r="A2" s="68" t="s">
        <v>51</v>
      </c>
      <c r="B2" s="68" t="s">
        <v>491</v>
      </c>
      <c r="C2" s="69"/>
      <c r="D2" s="68"/>
    </row>
    <row r="3" ht="37.5" customHeight="1">
      <c r="A3" s="68" t="s">
        <v>51</v>
      </c>
      <c r="B3" s="68" t="s">
        <v>71</v>
      </c>
      <c r="C3" s="69"/>
      <c r="D3" s="69"/>
    </row>
    <row r="4" ht="37.5" customHeight="1">
      <c r="A4" s="68" t="s">
        <v>51</v>
      </c>
      <c r="B4" s="68" t="s">
        <v>45</v>
      </c>
      <c r="C4" s="69"/>
      <c r="D4" s="69"/>
    </row>
    <row r="5" ht="37.5" customHeight="1">
      <c r="A5" s="68" t="s">
        <v>51</v>
      </c>
      <c r="B5" s="68" t="s">
        <v>93</v>
      </c>
      <c r="C5" s="69"/>
      <c r="D5" s="69"/>
    </row>
    <row r="6" ht="37.5" customHeight="1">
      <c r="A6" s="68" t="s">
        <v>51</v>
      </c>
      <c r="B6" s="68" t="s">
        <v>100</v>
      </c>
      <c r="C6" s="69"/>
      <c r="D6" s="69"/>
    </row>
    <row r="7" ht="37.5" customHeight="1">
      <c r="A7" s="68" t="s">
        <v>51</v>
      </c>
      <c r="B7" s="68" t="s">
        <v>106</v>
      </c>
      <c r="C7" s="69"/>
      <c r="D7" s="69"/>
    </row>
    <row r="8" ht="37.5" customHeight="1">
      <c r="A8" s="68" t="s">
        <v>116</v>
      </c>
      <c r="B8" s="68" t="s">
        <v>28</v>
      </c>
      <c r="C8" s="69"/>
      <c r="D8" s="69"/>
    </row>
    <row r="9" ht="37.5" customHeight="1">
      <c r="A9" s="68" t="s">
        <v>116</v>
      </c>
      <c r="B9" s="68" t="s">
        <v>122</v>
      </c>
      <c r="C9" s="69"/>
      <c r="D9" s="69"/>
    </row>
    <row r="10" ht="37.5" customHeight="1">
      <c r="A10" s="68" t="s">
        <v>116</v>
      </c>
      <c r="B10" s="68" t="s">
        <v>80</v>
      </c>
      <c r="C10" s="69"/>
      <c r="D10" s="69"/>
    </row>
    <row r="11" ht="37.5" customHeight="1">
      <c r="A11" s="68" t="s">
        <v>143</v>
      </c>
      <c r="B11" s="68" t="s">
        <v>145</v>
      </c>
      <c r="C11" s="69"/>
      <c r="D11" s="69"/>
    </row>
    <row r="12" ht="37.5" customHeight="1">
      <c r="A12" s="68" t="s">
        <v>143</v>
      </c>
      <c r="B12" s="68" t="s">
        <v>159</v>
      </c>
      <c r="C12" s="69"/>
      <c r="D12" s="69"/>
    </row>
    <row r="13" ht="37.5" customHeight="1">
      <c r="A13" s="68" t="s">
        <v>143</v>
      </c>
      <c r="B13" s="68" t="s">
        <v>172</v>
      </c>
      <c r="C13" s="69"/>
      <c r="D13" s="69"/>
    </row>
    <row r="14" ht="37.5" customHeight="1">
      <c r="A14" s="68" t="s">
        <v>143</v>
      </c>
      <c r="B14" s="68" t="s">
        <v>152</v>
      </c>
      <c r="C14" s="69"/>
      <c r="D14" s="69"/>
    </row>
    <row r="15" ht="37.5" customHeight="1">
      <c r="A15" s="68" t="s">
        <v>143</v>
      </c>
      <c r="B15" s="68" t="s">
        <v>91</v>
      </c>
      <c r="C15" s="69"/>
      <c r="D15" s="69"/>
    </row>
    <row r="16" ht="37.5" customHeight="1">
      <c r="A16" s="68" t="s">
        <v>143</v>
      </c>
      <c r="B16" s="68" t="s">
        <v>198</v>
      </c>
      <c r="C16" s="69"/>
      <c r="D16" s="69"/>
    </row>
    <row r="17" ht="37.5" customHeight="1">
      <c r="A17" s="68" t="s">
        <v>206</v>
      </c>
      <c r="B17" s="68" t="s">
        <v>207</v>
      </c>
      <c r="C17" s="69"/>
      <c r="D17" s="69"/>
    </row>
    <row r="18" ht="37.5" customHeight="1">
      <c r="A18" s="68" t="s">
        <v>206</v>
      </c>
      <c r="B18" s="68" t="s">
        <v>53</v>
      </c>
      <c r="C18" s="69"/>
      <c r="D18" s="69"/>
    </row>
    <row r="19" ht="37.5" customHeight="1">
      <c r="A19" s="68" t="s">
        <v>206</v>
      </c>
      <c r="B19" s="68" t="s">
        <v>227</v>
      </c>
      <c r="C19" s="69"/>
      <c r="D19" s="69"/>
    </row>
    <row r="20" ht="37.5" customHeight="1">
      <c r="A20" s="68" t="s">
        <v>206</v>
      </c>
      <c r="B20" s="68" t="s">
        <v>142</v>
      </c>
      <c r="C20" s="69"/>
      <c r="D20" s="69"/>
    </row>
    <row r="21" ht="37.5" customHeight="1">
      <c r="A21" s="68" t="s">
        <v>206</v>
      </c>
      <c r="B21" s="68" t="s">
        <v>237</v>
      </c>
      <c r="C21" s="69"/>
      <c r="D21" s="69"/>
    </row>
    <row r="22" ht="37.5" customHeight="1">
      <c r="A22" s="68" t="s">
        <v>23</v>
      </c>
      <c r="B22" s="68" t="s">
        <v>26</v>
      </c>
      <c r="C22" s="69"/>
      <c r="D22" s="69"/>
    </row>
    <row r="23" ht="37.5" customHeight="1">
      <c r="A23" s="68" t="s">
        <v>23</v>
      </c>
      <c r="B23" s="68" t="s">
        <v>40</v>
      </c>
      <c r="C23" s="69"/>
      <c r="D23" s="69"/>
    </row>
    <row r="24" ht="37.5" customHeight="1">
      <c r="A24" s="68" t="s">
        <v>23</v>
      </c>
      <c r="B24" s="68" t="s">
        <v>60</v>
      </c>
      <c r="C24" s="69"/>
      <c r="D24" s="69"/>
    </row>
    <row r="25" ht="37.5" customHeight="1">
      <c r="A25" s="68" t="s">
        <v>23</v>
      </c>
      <c r="B25" s="68" t="s">
        <v>64</v>
      </c>
      <c r="C25" s="69"/>
      <c r="D25" s="69"/>
    </row>
    <row r="26" ht="37.5" customHeight="1">
      <c r="A26" s="68" t="s">
        <v>23</v>
      </c>
      <c r="B26" s="68" t="s">
        <v>66</v>
      </c>
      <c r="C26" s="69"/>
      <c r="D26" s="69"/>
    </row>
    <row r="27" ht="37.5" customHeight="1">
      <c r="A27" s="68" t="s">
        <v>23</v>
      </c>
      <c r="B27" s="68" t="s">
        <v>68</v>
      </c>
      <c r="C27" s="69"/>
      <c r="D27" s="69"/>
    </row>
    <row r="28" ht="37.5" customHeight="1">
      <c r="A28" s="68" t="s">
        <v>23</v>
      </c>
      <c r="B28" s="68" t="s">
        <v>70</v>
      </c>
      <c r="C28" s="69"/>
      <c r="D28" s="69"/>
    </row>
    <row r="29" ht="37.5" customHeight="1">
      <c r="A29" s="68" t="s">
        <v>23</v>
      </c>
      <c r="B29" s="68" t="s">
        <v>73</v>
      </c>
      <c r="C29" s="69"/>
      <c r="D29" s="69"/>
    </row>
    <row r="30" ht="37.5" customHeight="1">
      <c r="A30" s="68" t="s">
        <v>23</v>
      </c>
      <c r="B30" s="68" t="s">
        <v>79</v>
      </c>
      <c r="C30" s="69"/>
      <c r="D30" s="69"/>
    </row>
    <row r="31" ht="37.5" customHeight="1">
      <c r="A31" s="68" t="s">
        <v>23</v>
      </c>
      <c r="B31" s="68" t="s">
        <v>82</v>
      </c>
      <c r="C31" s="69"/>
      <c r="D31" s="69"/>
    </row>
    <row r="32" ht="37.5" customHeight="1">
      <c r="A32" s="68" t="s">
        <v>23</v>
      </c>
      <c r="B32" s="68" t="s">
        <v>87</v>
      </c>
      <c r="C32" s="69"/>
      <c r="D32" s="69"/>
    </row>
    <row r="33" ht="37.5" customHeight="1">
      <c r="A33" s="68" t="s">
        <v>23</v>
      </c>
      <c r="B33" s="68" t="s">
        <v>89</v>
      </c>
      <c r="C33" s="69"/>
      <c r="D33" s="69"/>
    </row>
    <row r="34" ht="37.5" customHeight="1">
      <c r="A34" s="68" t="s">
        <v>23</v>
      </c>
      <c r="B34" s="68" t="s">
        <v>48</v>
      </c>
      <c r="C34" s="69"/>
      <c r="D34" s="69"/>
    </row>
    <row r="35" ht="37.5" customHeight="1">
      <c r="A35" s="68" t="s">
        <v>23</v>
      </c>
      <c r="B35" s="68" t="s">
        <v>99</v>
      </c>
      <c r="C35" s="69"/>
      <c r="D35" s="69"/>
    </row>
    <row r="36" ht="37.5" customHeight="1">
      <c r="A36" s="68" t="s">
        <v>23</v>
      </c>
      <c r="B36" s="68" t="s">
        <v>50</v>
      </c>
      <c r="C36" s="69"/>
      <c r="D36" s="69"/>
    </row>
    <row r="37" ht="37.5" customHeight="1">
      <c r="A37" s="68" t="s">
        <v>23</v>
      </c>
      <c r="B37" s="68" t="s">
        <v>107</v>
      </c>
      <c r="C37" s="69"/>
      <c r="D37" s="69"/>
    </row>
    <row r="38" ht="37.5" customHeight="1">
      <c r="A38" s="68" t="s">
        <v>23</v>
      </c>
      <c r="B38" s="68" t="s">
        <v>111</v>
      </c>
      <c r="C38" s="69"/>
      <c r="D38" s="69"/>
    </row>
    <row r="39" ht="37.5" customHeight="1">
      <c r="A39" s="68" t="s">
        <v>23</v>
      </c>
      <c r="B39" s="68" t="s">
        <v>118</v>
      </c>
      <c r="C39" s="69"/>
      <c r="D39" s="69"/>
    </row>
    <row r="40" ht="37.5" customHeight="1">
      <c r="A40" s="68" t="s">
        <v>23</v>
      </c>
      <c r="B40" s="68" t="s">
        <v>77</v>
      </c>
      <c r="C40" s="69"/>
      <c r="D40" s="69"/>
    </row>
    <row r="41" ht="37.5" customHeight="1">
      <c r="A41" s="68" t="s">
        <v>23</v>
      </c>
      <c r="B41" s="68" t="s">
        <v>125</v>
      </c>
      <c r="C41" s="69"/>
      <c r="D41" s="69"/>
    </row>
    <row r="42" ht="37.5" customHeight="1">
      <c r="A42" s="68" t="s">
        <v>23</v>
      </c>
      <c r="B42" s="68" t="s">
        <v>131</v>
      </c>
      <c r="C42" s="69"/>
      <c r="D42" s="69"/>
    </row>
    <row r="43" ht="37.5" customHeight="1">
      <c r="A43" s="68" t="s">
        <v>23</v>
      </c>
      <c r="B43" s="68" t="s">
        <v>137</v>
      </c>
      <c r="C43" s="69"/>
      <c r="D43" s="69"/>
    </row>
    <row r="44" ht="37.5" customHeight="1">
      <c r="A44" s="68" t="s">
        <v>23</v>
      </c>
      <c r="B44" s="68" t="s">
        <v>141</v>
      </c>
      <c r="C44" s="69"/>
      <c r="D44" s="69"/>
    </row>
    <row r="45" ht="37.5" customHeight="1">
      <c r="A45" s="68" t="s">
        <v>23</v>
      </c>
      <c r="B45" s="68" t="s">
        <v>151</v>
      </c>
      <c r="C45" s="69"/>
      <c r="D45" s="69"/>
    </row>
    <row r="46" ht="37.5" customHeight="1">
      <c r="A46" s="68" t="s">
        <v>23</v>
      </c>
      <c r="B46" s="68" t="s">
        <v>160</v>
      </c>
      <c r="C46" s="69"/>
      <c r="D46" s="69"/>
    </row>
    <row r="47" ht="37.5" customHeight="1">
      <c r="A47" s="68" t="s">
        <v>23</v>
      </c>
      <c r="B47" s="68" t="s">
        <v>158</v>
      </c>
      <c r="C47" s="69"/>
      <c r="D47" s="69"/>
    </row>
    <row r="48" ht="37.5" customHeight="1">
      <c r="A48" s="68" t="s">
        <v>23</v>
      </c>
      <c r="B48" s="68" t="s">
        <v>168</v>
      </c>
      <c r="C48" s="69"/>
      <c r="D48" s="69"/>
    </row>
    <row r="49" ht="37.5" customHeight="1">
      <c r="A49" s="68" t="s">
        <v>23</v>
      </c>
      <c r="B49" s="68" t="s">
        <v>175</v>
      </c>
      <c r="C49" s="69"/>
      <c r="D49" s="69"/>
    </row>
    <row r="50" ht="37.5" customHeight="1">
      <c r="A50" s="68" t="s">
        <v>23</v>
      </c>
      <c r="B50" s="68" t="s">
        <v>181</v>
      </c>
      <c r="C50" s="69"/>
      <c r="D50" s="69"/>
    </row>
    <row r="51" ht="37.5" customHeight="1">
      <c r="A51" s="68" t="s">
        <v>23</v>
      </c>
      <c r="B51" s="68" t="s">
        <v>182</v>
      </c>
      <c r="C51" s="69"/>
      <c r="D51" s="69"/>
    </row>
    <row r="52" ht="37.5" customHeight="1">
      <c r="A52" s="68" t="s">
        <v>49</v>
      </c>
      <c r="B52" s="68" t="s">
        <v>190</v>
      </c>
      <c r="C52" s="69"/>
      <c r="D52" s="69"/>
    </row>
    <row r="53" ht="37.5" customHeight="1">
      <c r="A53" s="68" t="s">
        <v>49</v>
      </c>
      <c r="B53" s="68" t="s">
        <v>199</v>
      </c>
      <c r="C53" s="69"/>
      <c r="D53" s="69"/>
    </row>
    <row r="54" ht="37.5" customHeight="1">
      <c r="A54" s="68" t="s">
        <v>49</v>
      </c>
      <c r="B54" s="68" t="s">
        <v>58</v>
      </c>
      <c r="C54" s="69"/>
      <c r="D54" s="69"/>
    </row>
    <row r="55" ht="37.5" customHeight="1">
      <c r="A55" s="68" t="s">
        <v>49</v>
      </c>
      <c r="B55" s="68" t="s">
        <v>210</v>
      </c>
      <c r="C55" s="69"/>
      <c r="D55" s="69"/>
    </row>
    <row r="56" ht="37.5" customHeight="1">
      <c r="A56" s="68" t="s">
        <v>49</v>
      </c>
      <c r="B56" s="68" t="s">
        <v>216</v>
      </c>
      <c r="C56" s="69"/>
      <c r="D56" s="69"/>
    </row>
    <row r="57" ht="37.5" customHeight="1">
      <c r="A57" s="68" t="s">
        <v>49</v>
      </c>
      <c r="B57" s="68" t="s">
        <v>222</v>
      </c>
      <c r="C57" s="69"/>
      <c r="D57" s="69"/>
    </row>
    <row r="58" ht="37.5" customHeight="1">
      <c r="A58" s="68" t="s">
        <v>49</v>
      </c>
      <c r="B58" s="68" t="s">
        <v>225</v>
      </c>
      <c r="C58" s="69"/>
      <c r="D58" s="69"/>
    </row>
    <row r="59" ht="37.5" customHeight="1">
      <c r="A59" s="68" t="s">
        <v>49</v>
      </c>
      <c r="B59" s="68" t="s">
        <v>56</v>
      </c>
      <c r="C59" s="69"/>
      <c r="D59" s="69"/>
    </row>
    <row r="60" ht="37.5" customHeight="1">
      <c r="A60" s="68" t="s">
        <v>49</v>
      </c>
      <c r="B60" s="68" t="s">
        <v>99</v>
      </c>
      <c r="C60" s="69"/>
      <c r="D60" s="69"/>
    </row>
    <row r="61" ht="37.5" customHeight="1">
      <c r="A61" s="68" t="s">
        <v>49</v>
      </c>
      <c r="B61" s="68" t="s">
        <v>59</v>
      </c>
      <c r="C61" s="69"/>
      <c r="D61" s="69"/>
    </row>
    <row r="62" ht="37.5" customHeight="1">
      <c r="A62" s="68" t="s">
        <v>49</v>
      </c>
      <c r="B62" s="68" t="s">
        <v>242</v>
      </c>
      <c r="C62" s="69"/>
      <c r="D62" s="69"/>
    </row>
    <row r="63" ht="37.5" customHeight="1">
      <c r="A63" s="68" t="s">
        <v>49</v>
      </c>
      <c r="B63" s="68" t="s">
        <v>135</v>
      </c>
      <c r="C63" s="69"/>
      <c r="D63" s="69"/>
    </row>
    <row r="64" ht="37.5" customHeight="1">
      <c r="A64" s="68" t="s">
        <v>49</v>
      </c>
      <c r="B64" s="68" t="s">
        <v>247</v>
      </c>
      <c r="C64" s="69"/>
      <c r="D64" s="69"/>
    </row>
    <row r="65" ht="37.5" customHeight="1">
      <c r="A65" s="68" t="s">
        <v>49</v>
      </c>
      <c r="B65" s="68" t="s">
        <v>224</v>
      </c>
      <c r="C65" s="69"/>
      <c r="D65" s="69"/>
    </row>
    <row r="66" ht="37.5" customHeight="1">
      <c r="A66" s="68" t="s">
        <v>49</v>
      </c>
      <c r="B66" s="68" t="s">
        <v>254</v>
      </c>
      <c r="C66" s="69"/>
      <c r="D66" s="69"/>
    </row>
    <row r="67" ht="37.5" customHeight="1">
      <c r="A67" s="68" t="s">
        <v>49</v>
      </c>
      <c r="B67" s="68" t="s">
        <v>202</v>
      </c>
      <c r="C67" s="69"/>
      <c r="D67" s="69"/>
    </row>
    <row r="68" ht="37.5" customHeight="1">
      <c r="A68" s="68" t="s">
        <v>49</v>
      </c>
      <c r="B68" s="68" t="s">
        <v>258</v>
      </c>
      <c r="C68" s="69"/>
      <c r="D68" s="69"/>
    </row>
    <row r="69" ht="37.5" customHeight="1">
      <c r="A69" s="68" t="s">
        <v>49</v>
      </c>
      <c r="B69" s="68" t="s">
        <v>187</v>
      </c>
      <c r="C69" s="69"/>
      <c r="D69" s="69"/>
    </row>
    <row r="70" ht="37.5" customHeight="1">
      <c r="A70" s="68" t="s">
        <v>49</v>
      </c>
      <c r="B70" s="68" t="s">
        <v>176</v>
      </c>
      <c r="C70" s="69"/>
      <c r="D70" s="69"/>
    </row>
    <row r="71" ht="37.5" customHeight="1">
      <c r="A71" s="68" t="s">
        <v>49</v>
      </c>
      <c r="B71" s="68" t="s">
        <v>156</v>
      </c>
      <c r="C71" s="69"/>
      <c r="D71" s="69"/>
    </row>
    <row r="72" ht="37.5" customHeight="1">
      <c r="A72" s="68" t="s">
        <v>49</v>
      </c>
      <c r="B72" s="68" t="s">
        <v>267</v>
      </c>
      <c r="C72" s="69"/>
      <c r="D72" s="69"/>
    </row>
    <row r="73" ht="37.5" customHeight="1">
      <c r="A73" s="68" t="s">
        <v>49</v>
      </c>
      <c r="B73" s="68" t="s">
        <v>244</v>
      </c>
      <c r="C73" s="69"/>
      <c r="D73" s="69"/>
    </row>
    <row r="74" ht="37.5" customHeight="1">
      <c r="A74" s="68" t="s">
        <v>49</v>
      </c>
      <c r="B74" s="68" t="s">
        <v>243</v>
      </c>
      <c r="C74" s="69"/>
      <c r="D74" s="69"/>
    </row>
    <row r="75" ht="37.5" customHeight="1">
      <c r="A75" s="68" t="s">
        <v>49</v>
      </c>
      <c r="B75" s="68" t="s">
        <v>197</v>
      </c>
      <c r="C75" s="69"/>
      <c r="D75" s="69"/>
    </row>
    <row r="76" ht="37.5" customHeight="1">
      <c r="A76" s="68" t="s">
        <v>49</v>
      </c>
      <c r="B76" s="68" t="s">
        <v>191</v>
      </c>
      <c r="C76" s="69"/>
      <c r="D76" s="69"/>
    </row>
    <row r="77" ht="37.5" customHeight="1">
      <c r="A77" s="68" t="s">
        <v>49</v>
      </c>
      <c r="B77" s="68" t="s">
        <v>262</v>
      </c>
      <c r="C77" s="69"/>
      <c r="D77" s="69"/>
    </row>
    <row r="78" ht="37.5" customHeight="1">
      <c r="A78" s="68" t="s">
        <v>49</v>
      </c>
      <c r="B78" s="68" t="s">
        <v>249</v>
      </c>
      <c r="C78" s="69"/>
      <c r="D78" s="69"/>
    </row>
    <row r="79" ht="37.5" customHeight="1">
      <c r="A79" s="68" t="s">
        <v>49</v>
      </c>
      <c r="B79" s="68" t="s">
        <v>84</v>
      </c>
      <c r="C79" s="69"/>
      <c r="D79" s="69"/>
    </row>
    <row r="80" ht="37.5" customHeight="1">
      <c r="A80" s="68" t="s">
        <v>49</v>
      </c>
      <c r="B80" s="68" t="s">
        <v>256</v>
      </c>
      <c r="C80" s="69"/>
      <c r="D80" s="69"/>
    </row>
    <row r="81" ht="37.5" customHeight="1">
      <c r="A81" s="68" t="s">
        <v>49</v>
      </c>
      <c r="B81" s="68" t="s">
        <v>95</v>
      </c>
      <c r="C81" s="69"/>
      <c r="D81" s="69"/>
    </row>
    <row r="82" ht="37.5" customHeight="1">
      <c r="A82" s="68" t="s">
        <v>49</v>
      </c>
      <c r="B82" s="68" t="s">
        <v>263</v>
      </c>
      <c r="C82" s="69"/>
      <c r="D82" s="69"/>
    </row>
    <row r="83" ht="37.5" customHeight="1">
      <c r="A83" s="68" t="s">
        <v>49</v>
      </c>
      <c r="B83" s="68" t="s">
        <v>105</v>
      </c>
      <c r="C83" s="69"/>
      <c r="D83" s="69"/>
    </row>
    <row r="84" ht="37.5" customHeight="1">
      <c r="A84" s="68" t="s">
        <v>49</v>
      </c>
      <c r="B84" s="68" t="s">
        <v>163</v>
      </c>
      <c r="C84" s="69"/>
      <c r="D84" s="69"/>
    </row>
    <row r="85" ht="37.5" customHeight="1">
      <c r="A85" s="68" t="s">
        <v>49</v>
      </c>
      <c r="B85" s="68" t="s">
        <v>54</v>
      </c>
      <c r="C85" s="69"/>
      <c r="D85" s="69"/>
    </row>
    <row r="86" ht="37.5" customHeight="1">
      <c r="A86" s="68" t="s">
        <v>49</v>
      </c>
      <c r="B86" s="68" t="s">
        <v>238</v>
      </c>
      <c r="C86" s="69"/>
      <c r="D86" s="69"/>
    </row>
    <row r="87" ht="37.5" customHeight="1">
      <c r="A87" s="68" t="s">
        <v>49</v>
      </c>
      <c r="B87" s="68" t="s">
        <v>146</v>
      </c>
      <c r="C87" s="69"/>
      <c r="D87" s="69"/>
    </row>
    <row r="88" ht="37.5" customHeight="1">
      <c r="A88" s="68" t="s">
        <v>251</v>
      </c>
      <c r="B88" s="68" t="s">
        <v>313</v>
      </c>
      <c r="C88" s="69"/>
      <c r="D88" s="69"/>
    </row>
    <row r="89" ht="37.5" customHeight="1">
      <c r="A89" s="68" t="s">
        <v>251</v>
      </c>
      <c r="B89" s="68" t="s">
        <v>317</v>
      </c>
      <c r="C89" s="69"/>
      <c r="D89" s="69"/>
    </row>
    <row r="90" ht="37.5" customHeight="1">
      <c r="A90" s="68" t="s">
        <v>251</v>
      </c>
      <c r="B90" s="68" t="s">
        <v>321</v>
      </c>
      <c r="C90" s="69"/>
      <c r="D90" s="69"/>
    </row>
    <row r="91" ht="37.5" customHeight="1">
      <c r="A91" s="68" t="s">
        <v>251</v>
      </c>
      <c r="B91" s="68" t="s">
        <v>286</v>
      </c>
      <c r="C91" s="69"/>
      <c r="D91" s="69"/>
    </row>
    <row r="92" ht="37.5" customHeight="1">
      <c r="A92" s="68" t="s">
        <v>251</v>
      </c>
      <c r="B92" s="68" t="s">
        <v>326</v>
      </c>
      <c r="C92" s="69"/>
      <c r="D92" s="69"/>
    </row>
    <row r="93" ht="37.5" customHeight="1">
      <c r="A93" s="68" t="s">
        <v>251</v>
      </c>
      <c r="B93" s="68" t="s">
        <v>291</v>
      </c>
      <c r="C93" s="69"/>
      <c r="D93" s="69"/>
    </row>
    <row r="94" ht="37.5" customHeight="1">
      <c r="A94" s="68" t="s">
        <v>251</v>
      </c>
      <c r="B94" s="68" t="s">
        <v>330</v>
      </c>
      <c r="C94" s="69"/>
      <c r="D94" s="69"/>
    </row>
    <row r="95" ht="37.5" customHeight="1">
      <c r="A95" s="68" t="s">
        <v>251</v>
      </c>
      <c r="B95" s="68" t="s">
        <v>255</v>
      </c>
      <c r="C95" s="69"/>
      <c r="D95" s="69"/>
    </row>
    <row r="96" ht="37.5" customHeight="1">
      <c r="A96" s="68" t="s">
        <v>251</v>
      </c>
      <c r="B96" s="68" t="s">
        <v>336</v>
      </c>
      <c r="C96" s="69"/>
      <c r="D96" s="69"/>
    </row>
    <row r="97" ht="37.5" customHeight="1">
      <c r="A97" s="68" t="s">
        <v>251</v>
      </c>
      <c r="B97" s="68" t="s">
        <v>264</v>
      </c>
      <c r="C97" s="69"/>
      <c r="D97" s="69"/>
    </row>
    <row r="98" ht="37.5" customHeight="1">
      <c r="A98" s="68" t="s">
        <v>251</v>
      </c>
      <c r="B98" s="68" t="s">
        <v>343</v>
      </c>
      <c r="C98" s="69"/>
      <c r="D98" s="69"/>
    </row>
    <row r="99" ht="37.5" customHeight="1">
      <c r="A99" s="68" t="s">
        <v>251</v>
      </c>
      <c r="B99" s="68" t="s">
        <v>331</v>
      </c>
      <c r="C99" s="69"/>
      <c r="D99" s="69"/>
    </row>
    <row r="100" ht="37.5" customHeight="1">
      <c r="A100" s="68" t="s">
        <v>251</v>
      </c>
      <c r="B100" s="68" t="s">
        <v>347</v>
      </c>
      <c r="C100" s="69"/>
      <c r="D100" s="69"/>
    </row>
    <row r="101" ht="37.5" customHeight="1">
      <c r="A101" s="68" t="s">
        <v>251</v>
      </c>
      <c r="B101" s="68" t="s">
        <v>492</v>
      </c>
      <c r="C101" s="69"/>
      <c r="D101" s="69"/>
    </row>
    <row r="102" ht="37.5" customHeight="1">
      <c r="A102" s="68" t="s">
        <v>251</v>
      </c>
      <c r="B102" s="68" t="s">
        <v>353</v>
      </c>
      <c r="C102" s="69"/>
      <c r="D102" s="69"/>
    </row>
    <row r="103" ht="37.5" customHeight="1">
      <c r="A103" s="68" t="s">
        <v>251</v>
      </c>
      <c r="B103" s="68" t="s">
        <v>318</v>
      </c>
      <c r="C103" s="69"/>
      <c r="D103" s="69"/>
    </row>
    <row r="104" ht="37.5" customHeight="1">
      <c r="A104" s="68" t="s">
        <v>251</v>
      </c>
      <c r="B104" s="68" t="s">
        <v>359</v>
      </c>
      <c r="C104" s="69"/>
      <c r="D104" s="69"/>
    </row>
    <row r="105" ht="37.5" customHeight="1">
      <c r="A105" s="68" t="s">
        <v>251</v>
      </c>
      <c r="B105" s="68" t="s">
        <v>195</v>
      </c>
      <c r="C105" s="69"/>
      <c r="D105" s="69"/>
    </row>
    <row r="106" ht="37.5" customHeight="1">
      <c r="A106" s="68" t="s">
        <v>251</v>
      </c>
      <c r="B106" s="68" t="s">
        <v>278</v>
      </c>
      <c r="C106" s="69"/>
      <c r="D106" s="69"/>
    </row>
    <row r="107" ht="37.5" customHeight="1">
      <c r="A107" s="68" t="s">
        <v>251</v>
      </c>
      <c r="B107" s="68" t="s">
        <v>204</v>
      </c>
      <c r="C107" s="69"/>
      <c r="D107" s="69"/>
    </row>
    <row r="108" ht="37.5" customHeight="1">
      <c r="A108" s="68" t="s">
        <v>251</v>
      </c>
      <c r="B108" s="68" t="s">
        <v>301</v>
      </c>
      <c r="C108" s="69"/>
      <c r="D108" s="69"/>
    </row>
    <row r="109" ht="37.5" customHeight="1">
      <c r="A109" s="68" t="s">
        <v>251</v>
      </c>
      <c r="B109" s="68" t="s">
        <v>319</v>
      </c>
      <c r="C109" s="69"/>
      <c r="D109" s="69"/>
    </row>
    <row r="110" ht="37.5" customHeight="1">
      <c r="A110" s="68" t="s">
        <v>251</v>
      </c>
      <c r="B110" s="68" t="s">
        <v>307</v>
      </c>
      <c r="C110" s="69"/>
      <c r="D110" s="69"/>
    </row>
    <row r="111" ht="37.5" customHeight="1">
      <c r="A111" s="68" t="s">
        <v>251</v>
      </c>
      <c r="B111" s="68" t="s">
        <v>295</v>
      </c>
      <c r="C111" s="69"/>
      <c r="D111" s="69"/>
    </row>
    <row r="112" ht="37.5" customHeight="1">
      <c r="A112" s="68" t="s">
        <v>251</v>
      </c>
      <c r="B112" s="68" t="s">
        <v>282</v>
      </c>
      <c r="C112" s="69"/>
      <c r="D112" s="69"/>
    </row>
    <row r="113" ht="37.5" customHeight="1">
      <c r="A113" s="68" t="s">
        <v>251</v>
      </c>
      <c r="B113" s="68" t="s">
        <v>306</v>
      </c>
      <c r="C113" s="69"/>
      <c r="D113" s="69"/>
    </row>
    <row r="114" ht="37.5" customHeight="1">
      <c r="A114" s="68" t="s">
        <v>251</v>
      </c>
      <c r="B114" s="68" t="s">
        <v>296</v>
      </c>
      <c r="C114" s="69"/>
      <c r="D114" s="69"/>
    </row>
    <row r="115" ht="37.5" customHeight="1">
      <c r="A115" s="68" t="s">
        <v>251</v>
      </c>
      <c r="B115" s="68" t="s">
        <v>290</v>
      </c>
      <c r="C115" s="69"/>
      <c r="D115" s="69"/>
    </row>
    <row r="116" ht="37.5" customHeight="1">
      <c r="A116" s="68" t="s">
        <v>251</v>
      </c>
      <c r="B116" s="68" t="s">
        <v>366</v>
      </c>
      <c r="C116" s="69"/>
      <c r="D116" s="69"/>
    </row>
    <row r="117" ht="37.5" customHeight="1">
      <c r="A117" s="68" t="s">
        <v>251</v>
      </c>
      <c r="B117" s="68" t="s">
        <v>253</v>
      </c>
      <c r="C117" s="69"/>
      <c r="D117" s="69"/>
    </row>
    <row r="118" ht="37.5" customHeight="1">
      <c r="A118" s="68" t="s">
        <v>251</v>
      </c>
      <c r="B118" s="68" t="s">
        <v>260</v>
      </c>
      <c r="C118" s="69"/>
      <c r="D118" s="69"/>
    </row>
    <row r="119" ht="37.5" customHeight="1">
      <c r="A119" s="68" t="s">
        <v>23</v>
      </c>
      <c r="B119" s="68" t="s">
        <v>272</v>
      </c>
      <c r="C119" s="69"/>
      <c r="D119" s="69" t="s">
        <v>493</v>
      </c>
    </row>
    <row r="120" ht="37.5" customHeight="1">
      <c r="A120" s="68" t="s">
        <v>49</v>
      </c>
      <c r="B120" s="68" t="s">
        <v>96</v>
      </c>
      <c r="C120" s="69"/>
      <c r="D120" s="69" t="s">
        <v>494</v>
      </c>
    </row>
    <row r="121" ht="37.5" customHeight="1">
      <c r="A121" s="68" t="s">
        <v>49</v>
      </c>
      <c r="B121" s="68" t="s">
        <v>103</v>
      </c>
      <c r="C121" s="69"/>
      <c r="D121" s="69" t="s">
        <v>495</v>
      </c>
    </row>
    <row r="122" ht="37.5" customHeight="1">
      <c r="A122" s="68" t="s">
        <v>49</v>
      </c>
      <c r="B122" s="68" t="s">
        <v>309</v>
      </c>
      <c r="C122" s="69"/>
      <c r="D122" s="69" t="s">
        <v>496</v>
      </c>
    </row>
    <row r="123" ht="37.5" customHeight="1">
      <c r="A123" s="68" t="s">
        <v>49</v>
      </c>
      <c r="B123" s="68" t="s">
        <v>117</v>
      </c>
      <c r="C123" s="69"/>
      <c r="D123" s="69" t="s">
        <v>497</v>
      </c>
    </row>
    <row r="124" ht="37.5" customHeight="1">
      <c r="A124" s="68" t="s">
        <v>49</v>
      </c>
      <c r="B124" s="68" t="s">
        <v>133</v>
      </c>
      <c r="C124" s="69"/>
      <c r="D124" s="69" t="s">
        <v>498</v>
      </c>
    </row>
    <row r="125" ht="37.5" customHeight="1">
      <c r="A125" s="68" t="s">
        <v>49</v>
      </c>
      <c r="B125" s="68" t="s">
        <v>167</v>
      </c>
      <c r="C125" s="69"/>
      <c r="D125" s="69" t="s">
        <v>499</v>
      </c>
    </row>
    <row r="126" ht="37.5" customHeight="1">
      <c r="A126" s="68" t="s">
        <v>49</v>
      </c>
      <c r="B126" s="68" t="s">
        <v>165</v>
      </c>
      <c r="C126" s="69"/>
      <c r="D126" s="69" t="s">
        <v>500</v>
      </c>
    </row>
    <row r="127" ht="37.5" customHeight="1">
      <c r="A127" s="68" t="s">
        <v>49</v>
      </c>
      <c r="B127" s="68" t="s">
        <v>180</v>
      </c>
      <c r="C127" s="69"/>
      <c r="D127" s="69" t="s">
        <v>501</v>
      </c>
    </row>
    <row r="128" ht="37.5" customHeight="1">
      <c r="A128" s="68" t="s">
        <v>49</v>
      </c>
      <c r="B128" s="68" t="s">
        <v>177</v>
      </c>
      <c r="C128" s="69"/>
      <c r="D128" s="69" t="s">
        <v>500</v>
      </c>
    </row>
    <row r="129" ht="37.5" customHeight="1">
      <c r="A129" s="68" t="s">
        <v>49</v>
      </c>
      <c r="B129" s="68" t="s">
        <v>337</v>
      </c>
      <c r="C129" s="69"/>
      <c r="D129" s="69" t="s">
        <v>502</v>
      </c>
    </row>
    <row r="130" ht="37.5" customHeight="1">
      <c r="A130" s="68" t="s">
        <v>251</v>
      </c>
      <c r="B130" s="68" t="s">
        <v>312</v>
      </c>
      <c r="C130" s="69"/>
      <c r="D130" s="69" t="s">
        <v>503</v>
      </c>
    </row>
    <row r="131" ht="37.5" customHeight="1">
      <c r="A131" s="68" t="s">
        <v>251</v>
      </c>
      <c r="B131" s="68" t="s">
        <v>300</v>
      </c>
      <c r="C131" s="69"/>
      <c r="D131" s="69" t="s">
        <v>504</v>
      </c>
    </row>
    <row r="132" ht="37.5" customHeight="1">
      <c r="A132" s="68" t="s">
        <v>251</v>
      </c>
      <c r="B132" s="68" t="s">
        <v>325</v>
      </c>
      <c r="C132" s="69"/>
      <c r="D132" s="69" t="s">
        <v>505</v>
      </c>
    </row>
    <row r="133" ht="37.5" customHeight="1">
      <c r="A133" s="68" t="s">
        <v>251</v>
      </c>
      <c r="B133" s="68" t="s">
        <v>403</v>
      </c>
      <c r="C133" s="69"/>
      <c r="D133" s="69" t="s">
        <v>506</v>
      </c>
    </row>
    <row r="134" ht="37.5" customHeight="1">
      <c r="A134" s="68" t="s">
        <v>251</v>
      </c>
      <c r="B134" s="68" t="s">
        <v>340</v>
      </c>
      <c r="C134" s="69"/>
      <c r="D134" s="69" t="s">
        <v>507</v>
      </c>
    </row>
    <row r="135" ht="37.5" customHeight="1">
      <c r="A135" s="68" t="s">
        <v>251</v>
      </c>
      <c r="B135" s="68" t="s">
        <v>342</v>
      </c>
      <c r="C135" s="69"/>
      <c r="D135" s="69" t="s">
        <v>508</v>
      </c>
    </row>
    <row r="136" ht="37.5" customHeight="1">
      <c r="A136" s="68" t="s">
        <v>367</v>
      </c>
      <c r="B136" s="68" t="s">
        <v>457</v>
      </c>
      <c r="C136" s="69"/>
      <c r="D136" s="69"/>
    </row>
    <row r="137" ht="37.5" customHeight="1">
      <c r="A137" s="68" t="s">
        <v>367</v>
      </c>
      <c r="B137" s="68" t="s">
        <v>458</v>
      </c>
      <c r="C137" s="69"/>
      <c r="D137" s="69"/>
    </row>
    <row r="138" ht="37.5" customHeight="1">
      <c r="A138" s="68" t="s">
        <v>367</v>
      </c>
      <c r="B138" s="68" t="s">
        <v>459</v>
      </c>
      <c r="C138" s="69"/>
      <c r="D138" s="69"/>
    </row>
    <row r="139" ht="37.5" customHeight="1">
      <c r="A139" s="68" t="s">
        <v>367</v>
      </c>
      <c r="B139" s="68" t="s">
        <v>371</v>
      </c>
      <c r="C139" s="69"/>
      <c r="D139" s="69"/>
    </row>
    <row r="140" ht="37.5" customHeight="1">
      <c r="A140" s="68" t="s">
        <v>367</v>
      </c>
      <c r="B140" s="68" t="s">
        <v>461</v>
      </c>
      <c r="C140" s="69"/>
      <c r="D140" s="69"/>
    </row>
    <row r="141" ht="37.5" customHeight="1">
      <c r="A141" s="68" t="s">
        <v>367</v>
      </c>
      <c r="B141" s="68" t="s">
        <v>462</v>
      </c>
      <c r="C141" s="69"/>
      <c r="D141" s="69"/>
    </row>
    <row r="142" ht="37.5" customHeight="1">
      <c r="A142" s="68" t="s">
        <v>367</v>
      </c>
      <c r="B142" s="68" t="s">
        <v>463</v>
      </c>
      <c r="C142" s="69"/>
      <c r="D142" s="69"/>
    </row>
    <row r="143" ht="37.5" customHeight="1">
      <c r="A143" s="68" t="s">
        <v>367</v>
      </c>
      <c r="B143" s="68" t="s">
        <v>464</v>
      </c>
      <c r="C143" s="69"/>
      <c r="D143" s="69"/>
    </row>
    <row r="144" ht="37.5" customHeight="1">
      <c r="A144" s="68" t="s">
        <v>367</v>
      </c>
      <c r="B144" s="68" t="s">
        <v>466</v>
      </c>
      <c r="C144" s="69"/>
      <c r="D144" s="69"/>
    </row>
    <row r="145" ht="37.5" customHeight="1">
      <c r="A145" s="68" t="s">
        <v>367</v>
      </c>
      <c r="B145" s="68" t="s">
        <v>379</v>
      </c>
      <c r="C145" s="69"/>
      <c r="D145" s="69"/>
    </row>
    <row r="146" ht="37.5" customHeight="1">
      <c r="A146" s="68" t="s">
        <v>367</v>
      </c>
      <c r="B146" s="68" t="s">
        <v>467</v>
      </c>
      <c r="C146" s="69"/>
      <c r="D146" s="69"/>
    </row>
    <row r="147" ht="37.5" customHeight="1">
      <c r="A147" s="68" t="s">
        <v>367</v>
      </c>
      <c r="B147" s="68" t="s">
        <v>422</v>
      </c>
      <c r="C147" s="69"/>
      <c r="D147" s="69"/>
    </row>
    <row r="148" ht="37.5" customHeight="1">
      <c r="A148" s="68" t="s">
        <v>367</v>
      </c>
      <c r="B148" s="68" t="s">
        <v>468</v>
      </c>
      <c r="C148" s="69"/>
      <c r="D148" s="69"/>
    </row>
    <row r="149" ht="37.5" customHeight="1">
      <c r="A149" s="68" t="s">
        <v>367</v>
      </c>
      <c r="B149" s="68" t="s">
        <v>469</v>
      </c>
      <c r="C149" s="69"/>
      <c r="D149" s="69"/>
    </row>
    <row r="150" ht="37.5" customHeight="1">
      <c r="A150" s="68" t="s">
        <v>367</v>
      </c>
      <c r="B150" s="68" t="s">
        <v>470</v>
      </c>
      <c r="C150" s="69"/>
      <c r="D150" s="69"/>
    </row>
    <row r="151" ht="37.5" customHeight="1">
      <c r="A151" s="68" t="s">
        <v>367</v>
      </c>
      <c r="B151" s="68" t="s">
        <v>372</v>
      </c>
      <c r="C151" s="69"/>
      <c r="D151" s="69" t="s">
        <v>523</v>
      </c>
    </row>
    <row r="152" ht="37.5" customHeight="1">
      <c r="A152" s="68" t="s">
        <v>367</v>
      </c>
      <c r="B152" s="68" t="s">
        <v>417</v>
      </c>
      <c r="C152" s="69"/>
      <c r="D152" s="69"/>
    </row>
    <row r="153" ht="37.5" customHeight="1">
      <c r="A153" s="68" t="s">
        <v>367</v>
      </c>
      <c r="B153" s="68" t="s">
        <v>472</v>
      </c>
      <c r="C153" s="69"/>
      <c r="D153" s="69"/>
    </row>
    <row r="154" ht="37.5" customHeight="1">
      <c r="A154" s="68" t="s">
        <v>367</v>
      </c>
      <c r="B154" s="68" t="s">
        <v>473</v>
      </c>
      <c r="C154" s="69"/>
      <c r="D154" s="69"/>
    </row>
    <row r="155" ht="37.5" customHeight="1">
      <c r="A155" s="68" t="s">
        <v>367</v>
      </c>
      <c r="B155" s="68" t="s">
        <v>474</v>
      </c>
      <c r="C155" s="69"/>
      <c r="D155" s="69"/>
    </row>
    <row r="156" ht="37.5" customHeight="1">
      <c r="A156" s="68" t="s">
        <v>367</v>
      </c>
      <c r="B156" s="68" t="s">
        <v>475</v>
      </c>
      <c r="C156" s="69"/>
      <c r="D156" s="69"/>
    </row>
    <row r="157" ht="37.5" customHeight="1">
      <c r="A157" s="68" t="s">
        <v>367</v>
      </c>
      <c r="B157" s="68" t="s">
        <v>369</v>
      </c>
      <c r="C157" s="69"/>
      <c r="D157" s="69" t="s">
        <v>524</v>
      </c>
    </row>
    <row r="158" ht="37.5" customHeight="1">
      <c r="A158" s="68" t="s">
        <v>367</v>
      </c>
      <c r="B158" s="68" t="s">
        <v>478</v>
      </c>
      <c r="C158" s="69"/>
      <c r="D158" s="69"/>
    </row>
    <row r="159" ht="37.5" customHeight="1">
      <c r="A159" s="68" t="s">
        <v>367</v>
      </c>
      <c r="B159" s="68" t="s">
        <v>479</v>
      </c>
      <c r="C159" s="69"/>
      <c r="D159" s="69"/>
    </row>
    <row r="160" ht="37.5" customHeight="1">
      <c r="A160" s="68" t="s">
        <v>367</v>
      </c>
      <c r="B160" s="68" t="s">
        <v>378</v>
      </c>
      <c r="C160" s="69"/>
      <c r="D160" s="69"/>
    </row>
    <row r="161" ht="37.5" customHeight="1">
      <c r="A161" s="68" t="s">
        <v>367</v>
      </c>
      <c r="B161" s="68" t="s">
        <v>370</v>
      </c>
      <c r="C161" s="69"/>
      <c r="D161" s="69" t="s">
        <v>526</v>
      </c>
    </row>
    <row r="162" ht="37.5" customHeight="1">
      <c r="A162" s="68" t="s">
        <v>367</v>
      </c>
      <c r="B162" s="68" t="s">
        <v>430</v>
      </c>
      <c r="C162" s="72"/>
      <c r="D162" s="68" t="s">
        <v>529</v>
      </c>
    </row>
    <row r="163" ht="37.5" customHeight="1">
      <c r="A163" s="68" t="s">
        <v>367</v>
      </c>
      <c r="B163" s="68" t="s">
        <v>438</v>
      </c>
      <c r="C163" s="68"/>
      <c r="D163" s="68" t="s">
        <v>530</v>
      </c>
      <c r="G163" s="69"/>
    </row>
    <row r="164" ht="37.5" customHeight="1">
      <c r="A164" s="68" t="s">
        <v>367</v>
      </c>
      <c r="B164" s="68" t="s">
        <v>380</v>
      </c>
      <c r="C164" s="68"/>
      <c r="D164" s="68" t="s">
        <v>532</v>
      </c>
    </row>
    <row r="165" ht="37.5" customHeight="1">
      <c r="A165" s="68"/>
      <c r="B165" s="68"/>
      <c r="C165" s="68"/>
      <c r="D165" s="68"/>
    </row>
    <row r="166" ht="37.5" customHeight="1">
      <c r="A166" s="68"/>
      <c r="B166" s="68"/>
      <c r="C166" s="69"/>
      <c r="D166" s="69"/>
    </row>
    <row r="167" ht="37.5" customHeight="1">
      <c r="A167" s="68"/>
      <c r="B167" s="68"/>
      <c r="C167" s="69"/>
      <c r="D167" s="69"/>
    </row>
    <row r="168" ht="37.5" customHeight="1">
      <c r="A168" s="68"/>
      <c r="B168" s="68"/>
      <c r="C168" s="69"/>
      <c r="D168" s="69"/>
    </row>
    <row r="169" ht="37.5" customHeight="1">
      <c r="A169" s="68"/>
      <c r="B169" s="68"/>
      <c r="C169" s="69"/>
      <c r="D169" s="69"/>
    </row>
    <row r="170" ht="37.5" customHeight="1">
      <c r="A170" s="68"/>
      <c r="B170" s="68"/>
      <c r="C170" s="69"/>
      <c r="D170" s="69"/>
    </row>
    <row r="171" ht="37.5" customHeight="1">
      <c r="A171" s="68"/>
      <c r="B171" s="68"/>
      <c r="C171" s="69"/>
      <c r="D171" s="69"/>
    </row>
    <row r="172" ht="37.5" customHeight="1">
      <c r="A172" s="68"/>
      <c r="B172" s="68"/>
      <c r="C172" s="69"/>
      <c r="D172" s="69"/>
    </row>
    <row r="173" ht="37.5" customHeight="1">
      <c r="A173" s="68"/>
      <c r="B173" s="68"/>
      <c r="C173" s="69"/>
      <c r="D173" s="69"/>
    </row>
    <row r="174" ht="37.5" customHeight="1">
      <c r="A174" s="68"/>
      <c r="B174" s="68"/>
      <c r="C174" s="69"/>
      <c r="D174" s="69"/>
    </row>
    <row r="175" ht="37.5" customHeight="1">
      <c r="A175" s="68"/>
      <c r="B175" s="68"/>
      <c r="C175" s="69"/>
      <c r="D175" s="69"/>
    </row>
    <row r="176" ht="37.5" customHeight="1">
      <c r="A176" s="68"/>
      <c r="B176" s="68"/>
      <c r="C176" s="69"/>
      <c r="D176" s="69"/>
    </row>
    <row r="177" ht="37.5" customHeight="1">
      <c r="A177" s="68"/>
      <c r="B177" s="68"/>
      <c r="C177" s="69"/>
      <c r="D177" s="69"/>
    </row>
    <row r="178" ht="37.5" customHeight="1">
      <c r="A178" s="68"/>
      <c r="B178" s="68"/>
      <c r="C178" s="69"/>
      <c r="D178" s="69"/>
    </row>
    <row r="179" ht="37.5" customHeight="1">
      <c r="A179" s="68"/>
      <c r="B179" s="68"/>
      <c r="C179" s="69"/>
      <c r="D179" s="69"/>
    </row>
    <row r="180" ht="37.5" customHeight="1">
      <c r="A180" s="68"/>
      <c r="B180" s="68"/>
      <c r="C180" s="69"/>
      <c r="D180" s="69"/>
    </row>
    <row r="181" ht="37.5" customHeight="1">
      <c r="A181" s="68"/>
      <c r="B181" s="68"/>
      <c r="C181" s="69"/>
      <c r="D181" s="69"/>
    </row>
    <row r="182" ht="37.5" customHeight="1">
      <c r="A182" s="68"/>
      <c r="B182" s="68"/>
      <c r="C182" s="69"/>
      <c r="D182" s="69"/>
    </row>
    <row r="183" ht="37.5" customHeight="1">
      <c r="A183" s="68"/>
      <c r="B183" s="68"/>
      <c r="C183" s="69"/>
      <c r="D183" s="69"/>
    </row>
    <row r="184" ht="37.5" customHeight="1">
      <c r="A184" s="68"/>
      <c r="B184" s="68"/>
      <c r="C184" s="69"/>
      <c r="D184" s="69"/>
    </row>
    <row r="185" ht="37.5" customHeight="1">
      <c r="A185" s="68"/>
      <c r="B185" s="68"/>
      <c r="C185" s="69"/>
      <c r="D185" s="69"/>
    </row>
    <row r="186" ht="37.5" customHeight="1">
      <c r="A186" s="68"/>
      <c r="B186" s="68"/>
      <c r="C186" s="69"/>
      <c r="D186" s="69"/>
    </row>
    <row r="187" ht="37.5" customHeight="1">
      <c r="A187" s="68"/>
      <c r="B187" s="68"/>
      <c r="C187" s="69"/>
      <c r="D187" s="69"/>
    </row>
    <row r="188" ht="37.5" customHeight="1">
      <c r="A188" s="68"/>
      <c r="B188" s="68"/>
      <c r="C188" s="69"/>
      <c r="D188" s="69"/>
    </row>
    <row r="189" ht="37.5" customHeight="1">
      <c r="A189" s="68"/>
      <c r="B189" s="68"/>
      <c r="C189" s="69"/>
      <c r="D189" s="69"/>
    </row>
    <row r="190" ht="37.5" customHeight="1">
      <c r="A190" s="68"/>
      <c r="B190" s="68"/>
      <c r="C190" s="69"/>
      <c r="D190" s="69"/>
    </row>
    <row r="191" ht="37.5" customHeight="1">
      <c r="A191" s="68"/>
      <c r="B191" s="68"/>
      <c r="C191" s="69"/>
      <c r="D191" s="69"/>
    </row>
    <row r="192" ht="37.5" customHeight="1">
      <c r="A192" s="68"/>
      <c r="B192" s="68"/>
      <c r="C192" s="69"/>
      <c r="D192" s="69"/>
    </row>
    <row r="193" ht="37.5" customHeight="1">
      <c r="A193" s="68"/>
      <c r="B193" s="68"/>
      <c r="C193" s="69"/>
      <c r="D193" s="69"/>
    </row>
    <row r="194" ht="37.5" customHeight="1">
      <c r="A194" s="68"/>
      <c r="B194" s="68"/>
      <c r="C194" s="69"/>
      <c r="D194" s="69"/>
    </row>
    <row r="195" ht="37.5" customHeight="1">
      <c r="A195" s="68"/>
      <c r="B195" s="68"/>
      <c r="C195" s="69"/>
      <c r="D195" s="69"/>
    </row>
    <row r="196" ht="37.5" customHeight="1">
      <c r="A196" s="68"/>
      <c r="B196" s="68"/>
      <c r="C196" s="69"/>
      <c r="D196" s="69"/>
    </row>
    <row r="197" ht="37.5" customHeight="1">
      <c r="A197" s="68"/>
      <c r="B197" s="68"/>
      <c r="C197" s="69"/>
      <c r="D197" s="69"/>
    </row>
    <row r="198" ht="37.5" customHeight="1">
      <c r="A198" s="68"/>
      <c r="B198" s="68"/>
      <c r="C198" s="69"/>
      <c r="D198" s="69"/>
    </row>
    <row r="199" ht="37.5" customHeight="1">
      <c r="A199" s="68"/>
      <c r="B199" s="68"/>
      <c r="C199" s="69"/>
      <c r="D199" s="69"/>
    </row>
    <row r="200" ht="37.5" customHeight="1">
      <c r="A200" s="68"/>
      <c r="B200" s="68"/>
      <c r="C200" s="69"/>
      <c r="D200" s="69"/>
    </row>
    <row r="201" ht="37.5" customHeight="1">
      <c r="A201" s="68"/>
      <c r="B201" s="68"/>
      <c r="C201" s="69"/>
      <c r="D201" s="69"/>
    </row>
    <row r="202" ht="37.5" customHeight="1">
      <c r="A202" s="68"/>
      <c r="B202" s="68"/>
      <c r="C202" s="69"/>
      <c r="D202" s="69"/>
    </row>
    <row r="203" ht="37.5" customHeight="1">
      <c r="A203" s="68"/>
      <c r="B203" s="68"/>
      <c r="C203" s="69"/>
      <c r="D203" s="69"/>
    </row>
    <row r="204" ht="37.5" customHeight="1">
      <c r="A204" s="68"/>
      <c r="B204" s="68"/>
      <c r="C204" s="69"/>
      <c r="D204" s="69"/>
    </row>
    <row r="205" ht="37.5" customHeight="1">
      <c r="A205" s="68"/>
      <c r="B205" s="68"/>
      <c r="C205" s="69"/>
      <c r="D205" s="69"/>
    </row>
    <row r="206" ht="37.5" customHeight="1">
      <c r="A206" s="68"/>
      <c r="B206" s="68"/>
      <c r="C206" s="69"/>
      <c r="D206" s="69"/>
    </row>
    <row r="207" ht="37.5" customHeight="1">
      <c r="A207" s="68"/>
      <c r="B207" s="68"/>
      <c r="C207" s="69"/>
      <c r="D207" s="69"/>
    </row>
    <row r="208" ht="37.5" customHeight="1">
      <c r="A208" s="68"/>
      <c r="B208" s="68"/>
      <c r="C208" s="69"/>
      <c r="D208" s="69"/>
    </row>
    <row r="209" ht="37.5" customHeight="1">
      <c r="A209" s="68"/>
      <c r="B209" s="68"/>
      <c r="C209" s="69"/>
      <c r="D209" s="69"/>
    </row>
    <row r="210" ht="37.5" customHeight="1">
      <c r="A210" s="68"/>
      <c r="B210" s="68"/>
      <c r="C210" s="69"/>
      <c r="D210" s="69"/>
    </row>
    <row r="211" ht="37.5" customHeight="1">
      <c r="A211" s="68"/>
      <c r="B211" s="68"/>
      <c r="C211" s="69"/>
      <c r="D211" s="69"/>
    </row>
    <row r="212" ht="37.5" customHeight="1">
      <c r="A212" s="68"/>
      <c r="B212" s="68"/>
      <c r="C212" s="69"/>
      <c r="D212" s="69"/>
    </row>
    <row r="213" ht="37.5" customHeight="1">
      <c r="A213" s="68"/>
      <c r="B213" s="68"/>
      <c r="C213" s="69"/>
      <c r="D213" s="69"/>
    </row>
    <row r="214" ht="37.5" customHeight="1">
      <c r="A214" s="68"/>
      <c r="B214" s="68"/>
      <c r="C214" s="69"/>
      <c r="D214" s="69"/>
    </row>
    <row r="215" ht="37.5" customHeight="1">
      <c r="A215" s="68"/>
      <c r="B215" s="68"/>
      <c r="C215" s="69"/>
      <c r="D215" s="69"/>
    </row>
    <row r="216" ht="37.5" customHeight="1">
      <c r="A216" s="68"/>
      <c r="B216" s="68"/>
      <c r="C216" s="69"/>
      <c r="D216" s="69"/>
    </row>
    <row r="217" ht="37.5" customHeight="1">
      <c r="A217" s="68"/>
      <c r="B217" s="68"/>
      <c r="C217" s="69"/>
      <c r="D217" s="69"/>
    </row>
    <row r="218" ht="37.5" customHeight="1">
      <c r="A218" s="68"/>
      <c r="B218" s="68"/>
      <c r="C218" s="69"/>
      <c r="D218" s="69"/>
    </row>
    <row r="219" ht="37.5" customHeight="1">
      <c r="A219" s="68"/>
      <c r="B219" s="68"/>
      <c r="C219" s="69"/>
      <c r="D219" s="69"/>
    </row>
    <row r="220" ht="37.5" customHeight="1">
      <c r="A220" s="68"/>
      <c r="B220" s="68"/>
      <c r="C220" s="69"/>
      <c r="D220" s="69"/>
    </row>
    <row r="221" ht="37.5" customHeight="1">
      <c r="A221" s="68"/>
      <c r="B221" s="68"/>
      <c r="C221" s="69"/>
      <c r="D221" s="69"/>
    </row>
    <row r="222" ht="37.5" customHeight="1">
      <c r="A222" s="68"/>
      <c r="B222" s="68"/>
      <c r="C222" s="69"/>
      <c r="D222" s="69"/>
    </row>
    <row r="223" ht="37.5" customHeight="1">
      <c r="A223" s="68"/>
      <c r="B223" s="68"/>
      <c r="C223" s="69"/>
      <c r="D223" s="69"/>
    </row>
    <row r="224" ht="37.5" customHeight="1">
      <c r="A224" s="68"/>
      <c r="B224" s="68"/>
      <c r="C224" s="69"/>
      <c r="D224" s="69"/>
    </row>
    <row r="225" ht="37.5" customHeight="1">
      <c r="A225" s="68"/>
      <c r="B225" s="68"/>
      <c r="C225" s="69"/>
      <c r="D225" s="69"/>
    </row>
    <row r="226" ht="37.5" customHeight="1">
      <c r="A226" s="68"/>
      <c r="B226" s="68"/>
      <c r="C226" s="69"/>
      <c r="D226" s="69"/>
    </row>
    <row r="227" ht="37.5" customHeight="1">
      <c r="A227" s="68"/>
      <c r="B227" s="68"/>
      <c r="C227" s="69"/>
      <c r="D227" s="69"/>
    </row>
    <row r="228" ht="37.5" customHeight="1">
      <c r="A228" s="68"/>
      <c r="B228" s="68"/>
      <c r="C228" s="69"/>
      <c r="D228" s="69"/>
    </row>
    <row r="229" ht="37.5" customHeight="1">
      <c r="A229" s="68"/>
      <c r="B229" s="68"/>
      <c r="C229" s="69"/>
      <c r="D229" s="69"/>
    </row>
    <row r="230" ht="37.5" customHeight="1">
      <c r="A230" s="68"/>
      <c r="B230" s="68"/>
      <c r="C230" s="69"/>
      <c r="D230" s="69"/>
    </row>
    <row r="231" ht="37.5" customHeight="1">
      <c r="A231" s="68"/>
      <c r="B231" s="68"/>
      <c r="C231" s="69"/>
      <c r="D231" s="69"/>
    </row>
    <row r="232" ht="37.5" customHeight="1">
      <c r="A232" s="68"/>
      <c r="B232" s="68"/>
      <c r="C232" s="69"/>
      <c r="D232" s="69"/>
    </row>
    <row r="233" ht="37.5" customHeight="1">
      <c r="A233" s="68"/>
      <c r="B233" s="68"/>
      <c r="C233" s="69"/>
      <c r="D233" s="69"/>
    </row>
    <row r="234" ht="37.5" customHeight="1">
      <c r="A234" s="68"/>
      <c r="B234" s="68"/>
      <c r="C234" s="69"/>
      <c r="D234" s="69"/>
    </row>
    <row r="235" ht="37.5" customHeight="1"/>
    <row r="236" ht="37.5" customHeight="1"/>
    <row r="237" ht="37.5" customHeight="1"/>
    <row r="238" ht="37.5" customHeight="1"/>
    <row r="239" ht="37.5" customHeight="1"/>
    <row r="240" ht="37.5" customHeight="1"/>
    <row r="241" ht="37.5" customHeight="1"/>
    <row r="242" ht="37.5" customHeight="1"/>
    <row r="243" ht="37.5" customHeight="1"/>
    <row r="244" ht="37.5" customHeight="1"/>
    <row r="245" ht="37.5" customHeight="1"/>
    <row r="246" ht="37.5" customHeight="1"/>
    <row r="247" ht="37.5" customHeight="1"/>
    <row r="248" ht="37.5" customHeight="1"/>
    <row r="249" ht="37.5" customHeight="1"/>
    <row r="250" ht="37.5" customHeight="1"/>
    <row r="251" ht="37.5" customHeight="1"/>
    <row r="252" ht="37.5" customHeight="1"/>
    <row r="253" ht="37.5" customHeight="1"/>
    <row r="254" ht="37.5" customHeight="1"/>
    <row r="255" ht="37.5" customHeight="1"/>
    <row r="256" ht="37.5" customHeight="1"/>
    <row r="257" ht="37.5" customHeight="1"/>
    <row r="258" ht="37.5" customHeight="1"/>
    <row r="259" ht="37.5" customHeight="1"/>
    <row r="260" ht="37.5" customHeight="1"/>
    <row r="261" ht="37.5" customHeight="1"/>
    <row r="262" ht="37.5" customHeight="1"/>
    <row r="263" ht="37.5" customHeight="1"/>
    <row r="264" ht="37.5" customHeight="1"/>
    <row r="265" ht="37.5" customHeight="1"/>
    <row r="266" ht="37.5" customHeight="1"/>
    <row r="267" ht="37.5" customHeight="1"/>
    <row r="268" ht="37.5" customHeight="1"/>
    <row r="269" ht="37.5" customHeight="1"/>
    <row r="270" ht="37.5" customHeight="1"/>
    <row r="271" ht="37.5" customHeight="1"/>
    <row r="272" ht="37.5" customHeight="1"/>
    <row r="273" ht="37.5" customHeight="1"/>
    <row r="274" ht="37.5" customHeight="1"/>
    <row r="275" ht="37.5" customHeight="1"/>
    <row r="276" ht="37.5" customHeight="1"/>
    <row r="277" ht="37.5" customHeight="1"/>
    <row r="278" ht="37.5" customHeight="1"/>
    <row r="279" ht="37.5" customHeight="1"/>
    <row r="280" ht="37.5" customHeight="1"/>
    <row r="281" ht="37.5" customHeight="1"/>
    <row r="282" ht="37.5" customHeight="1"/>
    <row r="283" ht="37.5" customHeight="1"/>
    <row r="284" ht="37.5" customHeight="1"/>
    <row r="285" ht="37.5" customHeight="1"/>
    <row r="286" ht="37.5" customHeight="1"/>
    <row r="287" ht="37.5" customHeight="1"/>
    <row r="288" ht="37.5" customHeight="1"/>
    <row r="289" ht="37.5" customHeight="1"/>
    <row r="290" ht="37.5" customHeight="1"/>
    <row r="291" ht="37.5" customHeight="1"/>
    <row r="292" ht="37.5" customHeight="1"/>
    <row r="293" ht="37.5" customHeight="1"/>
    <row r="294" ht="37.5" customHeight="1"/>
    <row r="295" ht="37.5" customHeight="1"/>
    <row r="296" ht="37.5" customHeight="1"/>
    <row r="297" ht="37.5" customHeight="1"/>
    <row r="298" ht="37.5" customHeight="1"/>
    <row r="299" ht="37.5" customHeight="1"/>
    <row r="300" ht="37.5" customHeight="1"/>
    <row r="301" ht="37.5" customHeight="1"/>
    <row r="302" ht="37.5" customHeight="1"/>
    <row r="303" ht="37.5" customHeight="1"/>
    <row r="304" ht="37.5" customHeight="1"/>
    <row r="305" ht="37.5" customHeight="1"/>
    <row r="306" ht="37.5" customHeight="1"/>
    <row r="307" ht="37.5" customHeight="1"/>
    <row r="308" ht="37.5" customHeight="1"/>
    <row r="309" ht="37.5" customHeight="1"/>
    <row r="310" ht="37.5" customHeight="1"/>
    <row r="311" ht="37.5" customHeight="1"/>
    <row r="312" ht="37.5" customHeight="1"/>
    <row r="313" ht="37.5" customHeight="1"/>
    <row r="314" ht="37.5" customHeight="1"/>
    <row r="315" ht="37.5" customHeight="1"/>
    <row r="316" ht="37.5" customHeight="1"/>
    <row r="317" ht="37.5" customHeight="1"/>
    <row r="318" ht="37.5" customHeight="1"/>
    <row r="319" ht="37.5" customHeight="1"/>
    <row r="320" ht="37.5" customHeight="1"/>
    <row r="321" ht="37.5" customHeight="1"/>
    <row r="322" ht="37.5" customHeight="1"/>
    <row r="323" ht="37.5" customHeight="1"/>
    <row r="324" ht="37.5" customHeight="1"/>
    <row r="325" ht="37.5" customHeight="1"/>
    <row r="326" ht="37.5" customHeight="1"/>
    <row r="327" ht="37.5" customHeight="1"/>
    <row r="328" ht="37.5" customHeight="1"/>
    <row r="329" ht="37.5" customHeight="1"/>
    <row r="330" ht="37.5" customHeight="1"/>
    <row r="331" ht="37.5" customHeight="1"/>
    <row r="332" ht="37.5" customHeight="1"/>
    <row r="333" ht="37.5" customHeight="1"/>
    <row r="334" ht="37.5" customHeight="1"/>
    <row r="335" ht="37.5" customHeight="1"/>
    <row r="336" ht="37.5" customHeight="1"/>
    <row r="337" ht="37.5" customHeight="1"/>
    <row r="338" ht="37.5" customHeight="1"/>
    <row r="339" ht="37.5" customHeight="1"/>
    <row r="340" ht="37.5" customHeight="1"/>
    <row r="341" ht="37.5" customHeight="1"/>
    <row r="342" ht="37.5" customHeight="1"/>
    <row r="343" ht="37.5" customHeight="1"/>
    <row r="344" ht="37.5" customHeight="1"/>
    <row r="345" ht="37.5" customHeight="1"/>
    <row r="346" ht="37.5" customHeight="1"/>
    <row r="347" ht="37.5" customHeight="1"/>
    <row r="348" ht="37.5" customHeight="1"/>
    <row r="349" ht="37.5" customHeight="1"/>
    <row r="350" ht="37.5" customHeight="1"/>
    <row r="351" ht="37.5" customHeight="1"/>
    <row r="352" ht="37.5" customHeight="1"/>
    <row r="353" ht="37.5" customHeight="1"/>
    <row r="354" ht="37.5" customHeight="1"/>
    <row r="355" ht="37.5" customHeight="1"/>
    <row r="356" ht="37.5" customHeight="1"/>
    <row r="357" ht="37.5" customHeight="1"/>
    <row r="358" ht="37.5" customHeight="1"/>
    <row r="359" ht="37.5" customHeight="1"/>
    <row r="360" ht="37.5" customHeight="1"/>
    <row r="361" ht="37.5" customHeight="1"/>
    <row r="362" ht="37.5" customHeight="1"/>
    <row r="363" ht="37.5" customHeight="1"/>
    <row r="364" ht="37.5" customHeight="1"/>
    <row r="365" ht="37.5" customHeight="1"/>
    <row r="366" ht="37.5" customHeight="1"/>
    <row r="367" ht="37.5" customHeight="1"/>
    <row r="368" ht="37.5" customHeight="1"/>
    <row r="369" ht="37.5" customHeight="1"/>
    <row r="370" ht="37.5" customHeight="1"/>
    <row r="371" ht="37.5" customHeight="1"/>
    <row r="372" ht="37.5" customHeight="1"/>
    <row r="373" ht="37.5" customHeight="1"/>
    <row r="374" ht="37.5" customHeight="1"/>
    <row r="375" ht="37.5" customHeight="1"/>
    <row r="376" ht="37.5" customHeight="1"/>
    <row r="377" ht="37.5" customHeight="1"/>
    <row r="378" ht="37.5" customHeight="1"/>
    <row r="379" ht="37.5" customHeight="1"/>
    <row r="380" ht="37.5" customHeight="1"/>
    <row r="381" ht="37.5" customHeight="1"/>
    <row r="382" ht="37.5" customHeight="1"/>
    <row r="383" ht="37.5" customHeight="1"/>
    <row r="384" ht="37.5" customHeight="1"/>
    <row r="385" ht="37.5" customHeight="1"/>
    <row r="386" ht="37.5" customHeight="1"/>
    <row r="387" ht="37.5" customHeight="1"/>
    <row r="388" ht="37.5" customHeight="1"/>
    <row r="389" ht="37.5" customHeight="1"/>
    <row r="390" ht="37.5" customHeight="1"/>
    <row r="391" ht="37.5" customHeight="1"/>
    <row r="392" ht="37.5" customHeight="1"/>
    <row r="393" ht="37.5" customHeight="1"/>
    <row r="394" ht="37.5" customHeight="1"/>
    <row r="395" ht="37.5" customHeight="1"/>
    <row r="396" ht="37.5" customHeight="1"/>
    <row r="397" ht="37.5" customHeight="1"/>
    <row r="398" ht="37.5" customHeight="1"/>
    <row r="399" ht="37.5" customHeight="1"/>
    <row r="400" ht="37.5" customHeight="1"/>
    <row r="401" ht="37.5" customHeight="1"/>
    <row r="402" ht="37.5" customHeight="1"/>
    <row r="403" ht="37.5" customHeight="1"/>
    <row r="404" ht="37.5" customHeight="1"/>
    <row r="405" ht="37.5" customHeight="1"/>
    <row r="406" ht="37.5" customHeight="1"/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">
        <v>509</v>
      </c>
      <c r="B1" s="70" t="s">
        <v>510</v>
      </c>
      <c r="C1" s="70" t="s">
        <v>511</v>
      </c>
      <c r="D1" s="70" t="s">
        <v>512</v>
      </c>
      <c r="E1" s="70" t="s">
        <v>513</v>
      </c>
      <c r="F1" s="70" t="s">
        <v>514</v>
      </c>
      <c r="G1" s="70" t="s">
        <v>515</v>
      </c>
      <c r="I1" s="70" t="s">
        <v>509</v>
      </c>
      <c r="J1" s="70" t="s">
        <v>516</v>
      </c>
      <c r="K1" s="70" t="s">
        <v>517</v>
      </c>
      <c r="L1" s="70" t="s">
        <v>518</v>
      </c>
      <c r="N1" s="45" t="s">
        <v>519</v>
      </c>
    </row>
    <row r="2">
      <c r="A2" s="70" t="s">
        <v>52</v>
      </c>
      <c r="B2" s="70" t="s">
        <v>520</v>
      </c>
      <c r="C2" s="70" t="s">
        <v>53</v>
      </c>
      <c r="D2" s="71">
        <v>0.2</v>
      </c>
      <c r="E2" s="71">
        <v>1.0</v>
      </c>
      <c r="F2" s="71">
        <v>3.0</v>
      </c>
      <c r="G2" s="71">
        <v>1.0</v>
      </c>
      <c r="I2" s="70" t="s">
        <v>52</v>
      </c>
      <c r="J2" s="70" t="s">
        <v>135</v>
      </c>
      <c r="K2" s="71">
        <v>1.0</v>
      </c>
      <c r="L2" s="70" t="s">
        <v>521</v>
      </c>
      <c r="N2" s="45" t="s">
        <v>522</v>
      </c>
    </row>
    <row r="3">
      <c r="A3" s="70" t="s">
        <v>52</v>
      </c>
      <c r="B3" s="70" t="s">
        <v>54</v>
      </c>
      <c r="C3" s="70" t="s">
        <v>237</v>
      </c>
      <c r="D3" s="70">
        <v>0.2</v>
      </c>
      <c r="E3" s="71">
        <v>1.0</v>
      </c>
      <c r="F3" s="71">
        <v>2.0</v>
      </c>
      <c r="G3" s="71">
        <v>2.0</v>
      </c>
      <c r="I3" s="70" t="s">
        <v>52</v>
      </c>
      <c r="J3" s="70" t="s">
        <v>59</v>
      </c>
      <c r="K3" s="71">
        <v>2.0</v>
      </c>
      <c r="L3" s="70" t="s">
        <v>521</v>
      </c>
      <c r="N3" s="50" t="str">
        <f>IFERROR(__xludf.DUMMYFUNCTION("FILTER('食譜'!$B$2:$B1001, '食譜'!$B$2:$B1001&lt;&gt;"""")"),"鮮紅濃湯")</f>
        <v>鮮紅濃湯</v>
      </c>
    </row>
    <row r="4">
      <c r="A4" s="70" t="s">
        <v>52</v>
      </c>
      <c r="B4" s="70" t="s">
        <v>525</v>
      </c>
      <c r="C4" s="70" t="s">
        <v>80</v>
      </c>
      <c r="D4" s="70">
        <v>0.2</v>
      </c>
      <c r="E4" s="71">
        <v>1.0</v>
      </c>
      <c r="F4" s="71">
        <v>1.0</v>
      </c>
      <c r="G4" s="71">
        <v>3.0</v>
      </c>
      <c r="I4" s="70" t="s">
        <v>52</v>
      </c>
      <c r="J4" s="70" t="s">
        <v>56</v>
      </c>
      <c r="K4" s="71">
        <v>1.0</v>
      </c>
      <c r="L4" s="70" t="s">
        <v>521</v>
      </c>
      <c r="N4" s="50" t="str">
        <f>IFERROR(__xludf.DUMMYFUNCTION("""COMPUTED_VALUE"""),"蜘蛛意式通心粉")</f>
        <v>蜘蛛意式通心粉</v>
      </c>
    </row>
    <row r="5">
      <c r="A5" s="70" t="s">
        <v>52</v>
      </c>
      <c r="B5" s="70" t="s">
        <v>527</v>
      </c>
      <c r="C5" s="70" t="s">
        <v>80</v>
      </c>
      <c r="D5" s="70">
        <v>0.1</v>
      </c>
      <c r="E5" s="71">
        <v>1.0</v>
      </c>
      <c r="F5" s="71">
        <v>1.0</v>
      </c>
      <c r="G5" s="71">
        <v>4.0</v>
      </c>
      <c r="I5" s="70" t="s">
        <v>52</v>
      </c>
      <c r="J5" s="70" t="s">
        <v>58</v>
      </c>
      <c r="K5" s="71">
        <v>1.0</v>
      </c>
      <c r="L5" s="70" t="s">
        <v>521</v>
      </c>
      <c r="N5" s="50" t="str">
        <f>IFERROR(__xludf.DUMMYFUNCTION("""COMPUTED_VALUE"""),"惡鬼千層面")</f>
        <v>惡鬼千層面</v>
      </c>
    </row>
    <row r="6">
      <c r="A6" s="70" t="s">
        <v>52</v>
      </c>
      <c r="B6" s="70" t="s">
        <v>528</v>
      </c>
      <c r="C6" s="70" t="s">
        <v>28</v>
      </c>
      <c r="D6" s="70">
        <v>0.2</v>
      </c>
      <c r="E6" s="71">
        <v>1.0</v>
      </c>
      <c r="F6" s="71">
        <v>1.0</v>
      </c>
      <c r="G6" s="71">
        <v>5.0</v>
      </c>
      <c r="I6" s="70" t="s">
        <v>83</v>
      </c>
      <c r="J6" s="70" t="s">
        <v>135</v>
      </c>
      <c r="K6" s="71">
        <v>1.0</v>
      </c>
      <c r="L6" s="70" t="s">
        <v>521</v>
      </c>
      <c r="N6" s="50" t="str">
        <f>IFERROR(__xludf.DUMMYFUNCTION("""COMPUTED_VALUE"""),"幽靈肉醬意麵")</f>
        <v>幽靈肉醬意麵</v>
      </c>
    </row>
    <row r="7">
      <c r="A7" s="70" t="s">
        <v>52</v>
      </c>
      <c r="B7" s="70" t="s">
        <v>531</v>
      </c>
      <c r="C7" s="70" t="s">
        <v>28</v>
      </c>
      <c r="D7" s="71">
        <v>0.2</v>
      </c>
      <c r="E7" s="71">
        <v>1.0</v>
      </c>
      <c r="F7" s="71">
        <v>1.0</v>
      </c>
      <c r="G7" s="71">
        <v>6.0</v>
      </c>
      <c r="I7" s="70" t="s">
        <v>83</v>
      </c>
      <c r="J7" s="70" t="s">
        <v>59</v>
      </c>
      <c r="K7" s="71">
        <v>2.0</v>
      </c>
      <c r="L7" s="70" t="s">
        <v>521</v>
      </c>
      <c r="N7" s="50" t="str">
        <f>IFERROR(__xludf.DUMMYFUNCTION("""COMPUTED_VALUE"""),"哀嚎肉丸")</f>
        <v>哀嚎肉丸</v>
      </c>
    </row>
    <row r="8">
      <c r="A8" s="70" t="s">
        <v>83</v>
      </c>
      <c r="B8" s="70" t="s">
        <v>520</v>
      </c>
      <c r="C8" s="70" t="s">
        <v>53</v>
      </c>
      <c r="D8" s="71">
        <v>0.2</v>
      </c>
      <c r="E8" s="71">
        <v>1.0</v>
      </c>
      <c r="F8" s="71">
        <v>3.0</v>
      </c>
      <c r="G8" s="71">
        <v>1.0</v>
      </c>
      <c r="I8" s="70" t="s">
        <v>83</v>
      </c>
      <c r="J8" s="70" t="s">
        <v>176</v>
      </c>
      <c r="K8" s="71">
        <v>0.5</v>
      </c>
      <c r="L8" s="70" t="s">
        <v>521</v>
      </c>
      <c r="N8" s="50" t="str">
        <f>IFERROR(__xludf.DUMMYFUNCTION("""COMPUTED_VALUE"""),"塔瑪茄炒蛋")</f>
        <v>塔瑪茄炒蛋</v>
      </c>
    </row>
    <row r="9">
      <c r="A9" s="70" t="s">
        <v>83</v>
      </c>
      <c r="B9" s="70" t="s">
        <v>54</v>
      </c>
      <c r="C9" s="70" t="s">
        <v>237</v>
      </c>
      <c r="D9" s="71">
        <v>0.2</v>
      </c>
      <c r="E9" s="71">
        <v>1.0</v>
      </c>
      <c r="F9" s="71">
        <v>2.0</v>
      </c>
      <c r="G9" s="71">
        <v>2.0</v>
      </c>
      <c r="I9" s="70" t="s">
        <v>83</v>
      </c>
      <c r="J9" s="70" t="s">
        <v>187</v>
      </c>
      <c r="K9" s="71">
        <v>1.0</v>
      </c>
      <c r="L9" s="70" t="s">
        <v>521</v>
      </c>
      <c r="N9" s="50" t="str">
        <f>IFERROR(__xludf.DUMMYFUNCTION("""COMPUTED_VALUE"""),"瘟疫青醬麵")</f>
        <v>瘟疫青醬麵</v>
      </c>
    </row>
    <row r="10">
      <c r="A10" s="70" t="s">
        <v>83</v>
      </c>
      <c r="B10" s="70" t="s">
        <v>533</v>
      </c>
      <c r="C10" s="70" t="s">
        <v>198</v>
      </c>
      <c r="D10" s="71">
        <v>0.2</v>
      </c>
      <c r="E10" s="71">
        <v>1.0</v>
      </c>
      <c r="F10" s="71">
        <v>2.0</v>
      </c>
      <c r="G10" s="71">
        <v>3.0</v>
      </c>
      <c r="I10" s="70" t="s">
        <v>83</v>
      </c>
      <c r="J10" s="70" t="s">
        <v>160</v>
      </c>
      <c r="K10" s="70">
        <v>1.0</v>
      </c>
      <c r="L10" s="70" t="s">
        <v>534</v>
      </c>
      <c r="N10" s="50" t="str">
        <f>IFERROR(__xludf.DUMMYFUNCTION("""COMPUTED_VALUE"""),"煉獄魔蛋")</f>
        <v>煉獄魔蛋</v>
      </c>
    </row>
    <row r="11">
      <c r="A11" s="70" t="s">
        <v>83</v>
      </c>
      <c r="B11" s="70" t="s">
        <v>535</v>
      </c>
      <c r="C11" s="70" t="s">
        <v>227</v>
      </c>
      <c r="D11" s="70">
        <v>0.25</v>
      </c>
      <c r="E11" s="71">
        <v>1.0</v>
      </c>
      <c r="F11" s="71">
        <v>2.0</v>
      </c>
      <c r="G11" s="71">
        <v>4.0</v>
      </c>
      <c r="I11" s="70" t="s">
        <v>92</v>
      </c>
      <c r="J11" s="70" t="s">
        <v>176</v>
      </c>
      <c r="K11" s="71">
        <v>0.5</v>
      </c>
      <c r="L11" s="70" t="s">
        <v>521</v>
      </c>
      <c r="N11" s="50" t="str">
        <f>IFERROR(__xludf.DUMMYFUNCTION("""COMPUTED_VALUE"""),"驚魂北非蛋")</f>
        <v>驚魂北非蛋</v>
      </c>
    </row>
    <row r="12">
      <c r="A12" s="70" t="s">
        <v>83</v>
      </c>
      <c r="B12" s="70" t="s">
        <v>536</v>
      </c>
      <c r="C12" s="70" t="s">
        <v>207</v>
      </c>
      <c r="D12" s="70">
        <v>0.25</v>
      </c>
      <c r="E12" s="71">
        <v>1.0</v>
      </c>
      <c r="F12" s="71">
        <v>2.0</v>
      </c>
      <c r="G12" s="71">
        <v>5.0</v>
      </c>
      <c r="I12" s="70" t="s">
        <v>92</v>
      </c>
      <c r="J12" s="70" t="s">
        <v>156</v>
      </c>
      <c r="K12" s="71">
        <v>0.5</v>
      </c>
      <c r="L12" s="70" t="s">
        <v>521</v>
      </c>
      <c r="N12" s="50" t="str">
        <f>IFERROR(__xludf.DUMMYFUNCTION("""COMPUTED_VALUE"""),"撕裂脆片蘸醬")</f>
        <v>撕裂脆片蘸醬</v>
      </c>
    </row>
    <row r="13">
      <c r="A13" s="70" t="s">
        <v>83</v>
      </c>
      <c r="B13" s="70" t="s">
        <v>537</v>
      </c>
      <c r="C13" s="70" t="s">
        <v>142</v>
      </c>
      <c r="D13" s="71">
        <v>1.0</v>
      </c>
      <c r="E13" s="71">
        <v>1.0</v>
      </c>
      <c r="F13" s="71">
        <v>2.0</v>
      </c>
      <c r="G13" s="71">
        <v>6.0</v>
      </c>
      <c r="I13" s="70" t="s">
        <v>103</v>
      </c>
      <c r="J13" s="70" t="s">
        <v>135</v>
      </c>
      <c r="K13" s="71">
        <v>1.0</v>
      </c>
      <c r="L13" s="70" t="s">
        <v>521</v>
      </c>
      <c r="N13" s="50" t="str">
        <f>IFERROR(__xludf.DUMMYFUNCTION("""COMPUTED_VALUE"""),"惡臭農場蛋")</f>
        <v>惡臭農場蛋</v>
      </c>
    </row>
    <row r="14">
      <c r="A14" s="70" t="s">
        <v>83</v>
      </c>
      <c r="B14" s="70" t="s">
        <v>538</v>
      </c>
      <c r="C14" s="70" t="s">
        <v>152</v>
      </c>
      <c r="D14" s="71">
        <v>0.4</v>
      </c>
      <c r="E14" s="71">
        <v>1.0</v>
      </c>
      <c r="F14" s="71">
        <v>1.0</v>
      </c>
      <c r="G14" s="71">
        <v>7.0</v>
      </c>
      <c r="I14" s="70" t="s">
        <v>103</v>
      </c>
      <c r="J14" s="70" t="s">
        <v>59</v>
      </c>
      <c r="K14" s="71">
        <v>1.0</v>
      </c>
      <c r="L14" s="70" t="s">
        <v>521</v>
      </c>
      <c r="N14" s="50" t="str">
        <f>IFERROR(__xludf.DUMMYFUNCTION("""COMPUTED_VALUE"""),"致命玉米片")</f>
        <v>致命玉米片</v>
      </c>
    </row>
    <row r="15">
      <c r="A15" s="70" t="s">
        <v>83</v>
      </c>
      <c r="B15" s="70" t="s">
        <v>539</v>
      </c>
      <c r="C15" s="70" t="s">
        <v>152</v>
      </c>
      <c r="D15" s="71">
        <v>0.2</v>
      </c>
      <c r="E15" s="71">
        <v>1.0</v>
      </c>
      <c r="F15" s="71">
        <v>1.0</v>
      </c>
      <c r="G15" s="71">
        <v>8.0</v>
      </c>
      <c r="I15" s="70" t="s">
        <v>103</v>
      </c>
      <c r="J15" s="70" t="s">
        <v>176</v>
      </c>
      <c r="K15" s="70">
        <v>0.5</v>
      </c>
      <c r="L15" s="70" t="s">
        <v>521</v>
      </c>
      <c r="N15" s="50" t="str">
        <f>IFERROR(__xludf.DUMMYFUNCTION("""COMPUTED_VALUE"""),"食屍鬼鮮莎莎")</f>
        <v>食屍鬼鮮莎莎</v>
      </c>
    </row>
    <row r="16">
      <c r="A16" s="70" t="s">
        <v>83</v>
      </c>
      <c r="B16" s="70" t="s">
        <v>525</v>
      </c>
      <c r="C16" s="70" t="s">
        <v>80</v>
      </c>
      <c r="D16" s="71">
        <v>0.2</v>
      </c>
      <c r="E16" s="71">
        <v>1.0</v>
      </c>
      <c r="F16" s="71">
        <v>1.0</v>
      </c>
      <c r="G16" s="71">
        <v>9.0</v>
      </c>
      <c r="I16" s="70" t="s">
        <v>103</v>
      </c>
      <c r="J16" s="70" t="s">
        <v>187</v>
      </c>
      <c r="K16" s="71">
        <v>1.0</v>
      </c>
      <c r="L16" s="70" t="s">
        <v>521</v>
      </c>
      <c r="N16" s="50" t="str">
        <f>IFERROR(__xludf.DUMMYFUNCTION("""COMPUTED_VALUE"""),"幽靈洋蔥湯")</f>
        <v>幽靈洋蔥湯</v>
      </c>
    </row>
    <row r="17">
      <c r="A17" s="70" t="s">
        <v>83</v>
      </c>
      <c r="B17" s="70" t="s">
        <v>527</v>
      </c>
      <c r="C17" s="70" t="s">
        <v>80</v>
      </c>
      <c r="D17" s="71">
        <v>0.1</v>
      </c>
      <c r="E17" s="71">
        <v>1.0</v>
      </c>
      <c r="F17" s="71">
        <v>1.0</v>
      </c>
      <c r="G17" s="71">
        <v>10.0</v>
      </c>
      <c r="I17" s="70" t="s">
        <v>103</v>
      </c>
      <c r="J17" s="70" t="s">
        <v>156</v>
      </c>
      <c r="K17" s="70">
        <v>0.5</v>
      </c>
      <c r="L17" s="70" t="s">
        <v>521</v>
      </c>
      <c r="N17" s="50" t="str">
        <f>IFERROR(__xludf.DUMMYFUNCTION("""COMPUTED_VALUE"""),"驚嚇炸洋蔥")</f>
        <v>驚嚇炸洋蔥</v>
      </c>
    </row>
    <row r="18">
      <c r="A18" s="70" t="s">
        <v>92</v>
      </c>
      <c r="B18" s="70" t="s">
        <v>520</v>
      </c>
      <c r="C18" s="70" t="s">
        <v>53</v>
      </c>
      <c r="D18" s="71">
        <v>0.2</v>
      </c>
      <c r="E18" s="71">
        <v>1.0</v>
      </c>
      <c r="F18" s="71">
        <v>3.0</v>
      </c>
      <c r="G18" s="71">
        <v>1.0</v>
      </c>
      <c r="I18" s="45" t="s">
        <v>103</v>
      </c>
      <c r="J18" s="45" t="s">
        <v>160</v>
      </c>
      <c r="K18" s="61">
        <v>1.0</v>
      </c>
      <c r="L18" s="45" t="s">
        <v>534</v>
      </c>
      <c r="N18" s="50" t="str">
        <f>IFERROR(__xludf.DUMMYFUNCTION("""COMPUTED_VALUE"""),"暗淡洋蔥花")</f>
        <v>暗淡洋蔥花</v>
      </c>
    </row>
    <row r="19">
      <c r="A19" s="70" t="s">
        <v>92</v>
      </c>
      <c r="B19" s="70" t="s">
        <v>54</v>
      </c>
      <c r="C19" s="70" t="s">
        <v>237</v>
      </c>
      <c r="D19" s="71">
        <v>0.2</v>
      </c>
      <c r="E19" s="71">
        <v>1.0</v>
      </c>
      <c r="F19" s="71">
        <v>2.0</v>
      </c>
      <c r="G19" s="71">
        <v>2.0</v>
      </c>
      <c r="I19" s="45" t="s">
        <v>114</v>
      </c>
      <c r="J19" s="45" t="s">
        <v>135</v>
      </c>
      <c r="K19" s="61">
        <v>1.0</v>
      </c>
      <c r="L19" s="45" t="s">
        <v>521</v>
      </c>
      <c r="N19" s="50" t="str">
        <f>IFERROR(__xludf.DUMMYFUNCTION("""COMPUTED_VALUE"""),"末日麵團")</f>
        <v>末日麵團</v>
      </c>
    </row>
    <row r="20">
      <c r="A20" s="70" t="s">
        <v>92</v>
      </c>
      <c r="B20" s="70" t="s">
        <v>540</v>
      </c>
      <c r="C20" s="70" t="s">
        <v>198</v>
      </c>
      <c r="D20" s="71">
        <v>0.2</v>
      </c>
      <c r="E20" s="71">
        <v>1.0</v>
      </c>
      <c r="F20" s="71">
        <v>2.0</v>
      </c>
      <c r="G20" s="71">
        <v>3.0</v>
      </c>
      <c r="I20" s="45" t="s">
        <v>114</v>
      </c>
      <c r="J20" s="45" t="s">
        <v>59</v>
      </c>
      <c r="K20" s="61">
        <v>2.0</v>
      </c>
      <c r="L20" s="45" t="s">
        <v>521</v>
      </c>
      <c r="N20" s="50" t="str">
        <f>IFERROR(__xludf.DUMMYFUNCTION("""COMPUTED_VALUE"""),"咒語餃子")</f>
        <v>咒語餃子</v>
      </c>
    </row>
    <row r="21">
      <c r="A21" s="70" t="s">
        <v>92</v>
      </c>
      <c r="B21" s="70" t="s">
        <v>541</v>
      </c>
      <c r="C21" s="70" t="s">
        <v>227</v>
      </c>
      <c r="D21" s="71">
        <v>0.25</v>
      </c>
      <c r="E21" s="71">
        <v>1.0</v>
      </c>
      <c r="F21" s="71">
        <v>2.0</v>
      </c>
      <c r="G21" s="71">
        <v>4.0</v>
      </c>
      <c r="I21" s="45" t="s">
        <v>114</v>
      </c>
      <c r="J21" s="45" t="s">
        <v>56</v>
      </c>
      <c r="K21" s="61">
        <v>1.0</v>
      </c>
      <c r="L21" s="45" t="s">
        <v>521</v>
      </c>
      <c r="N21" s="50" t="str">
        <f>IFERROR(__xludf.DUMMYFUNCTION("""COMPUTED_VALUE"""),"墳墓茄包")</f>
        <v>墳墓茄包</v>
      </c>
    </row>
    <row r="22">
      <c r="A22" s="70" t="s">
        <v>92</v>
      </c>
      <c r="B22" s="70" t="s">
        <v>536</v>
      </c>
      <c r="C22" s="70" t="s">
        <v>207</v>
      </c>
      <c r="D22" s="71">
        <v>0.25</v>
      </c>
      <c r="E22" s="71">
        <v>1.0</v>
      </c>
      <c r="F22" s="71">
        <v>2.0</v>
      </c>
      <c r="G22" s="71">
        <v>5.0</v>
      </c>
      <c r="I22" s="45" t="s">
        <v>114</v>
      </c>
      <c r="J22" s="45" t="s">
        <v>156</v>
      </c>
      <c r="K22" s="61">
        <v>1.0</v>
      </c>
      <c r="L22" s="45" t="s">
        <v>521</v>
      </c>
      <c r="N22" s="50" t="str">
        <f>IFERROR(__xludf.DUMMYFUNCTION("""COMPUTED_VALUE"""),"暴徒烤麵包")</f>
        <v>暴徒烤麵包</v>
      </c>
    </row>
    <row r="23">
      <c r="A23" s="70" t="s">
        <v>92</v>
      </c>
      <c r="B23" s="70" t="s">
        <v>537</v>
      </c>
      <c r="C23" s="70" t="s">
        <v>142</v>
      </c>
      <c r="D23" s="71">
        <v>1.0</v>
      </c>
      <c r="E23" s="71">
        <v>1.0</v>
      </c>
      <c r="F23" s="71">
        <v>2.0</v>
      </c>
      <c r="G23" s="71">
        <v>6.0</v>
      </c>
      <c r="I23" s="45" t="s">
        <v>114</v>
      </c>
      <c r="J23" s="45" t="s">
        <v>163</v>
      </c>
      <c r="K23" s="61">
        <v>1.0</v>
      </c>
      <c r="L23" s="45" t="s">
        <v>534</v>
      </c>
      <c r="N23" s="50" t="str">
        <f>IFERROR(__xludf.DUMMYFUNCTION("""COMPUTED_VALUE"""),"爛蛋約翰")</f>
        <v>爛蛋約翰</v>
      </c>
    </row>
    <row r="24">
      <c r="A24" s="70" t="s">
        <v>92</v>
      </c>
      <c r="B24" s="70" t="s">
        <v>542</v>
      </c>
      <c r="C24" s="70" t="s">
        <v>142</v>
      </c>
      <c r="D24" s="71">
        <v>1.0</v>
      </c>
      <c r="E24" s="71">
        <v>1.0</v>
      </c>
      <c r="F24" s="71">
        <v>2.0</v>
      </c>
      <c r="G24" s="71">
        <v>7.0</v>
      </c>
      <c r="I24" s="45" t="s">
        <v>114</v>
      </c>
      <c r="J24" s="45" t="s">
        <v>158</v>
      </c>
      <c r="K24" s="61">
        <v>1.0</v>
      </c>
      <c r="L24" s="45" t="s">
        <v>534</v>
      </c>
      <c r="N24" s="50" t="str">
        <f>IFERROR(__xludf.DUMMYFUNCTION("""COMPUTED_VALUE"""),"怪物庫克先生")</f>
        <v>怪物庫克先生</v>
      </c>
    </row>
    <row r="25">
      <c r="A25" s="70" t="s">
        <v>92</v>
      </c>
      <c r="B25" s="70" t="s">
        <v>538</v>
      </c>
      <c r="C25" s="70" t="s">
        <v>152</v>
      </c>
      <c r="D25" s="71">
        <v>0.4</v>
      </c>
      <c r="E25" s="71">
        <v>1.0</v>
      </c>
      <c r="F25" s="71">
        <v>1.0</v>
      </c>
      <c r="G25" s="71">
        <v>8.0</v>
      </c>
      <c r="I25" s="45" t="s">
        <v>130</v>
      </c>
      <c r="J25" s="45" t="s">
        <v>135</v>
      </c>
      <c r="K25" s="61">
        <v>1.0</v>
      </c>
      <c r="L25" s="45" t="s">
        <v>521</v>
      </c>
      <c r="N25" s="50" t="str">
        <f>IFERROR(__xludf.DUMMYFUNCTION("""COMPUTED_VALUE"""),"墳墓土豆塊")</f>
        <v>墳墓土豆塊</v>
      </c>
    </row>
    <row r="26">
      <c r="A26" s="70" t="s">
        <v>92</v>
      </c>
      <c r="B26" s="70" t="s">
        <v>539</v>
      </c>
      <c r="C26" s="70" t="s">
        <v>152</v>
      </c>
      <c r="D26" s="71">
        <v>0.2</v>
      </c>
      <c r="E26" s="71">
        <v>1.0</v>
      </c>
      <c r="F26" s="71">
        <v>1.0</v>
      </c>
      <c r="G26" s="71">
        <v>9.0</v>
      </c>
      <c r="I26" s="45" t="s">
        <v>130</v>
      </c>
      <c r="J26" s="45" t="s">
        <v>56</v>
      </c>
      <c r="K26" s="61">
        <v>1.0</v>
      </c>
      <c r="L26" s="45" t="s">
        <v>521</v>
      </c>
      <c r="N26" s="50" t="str">
        <f>IFERROR(__xludf.DUMMYFUNCTION("""COMPUTED_VALUE"""),"爆炸土豆塊")</f>
        <v>爆炸土豆塊</v>
      </c>
    </row>
    <row r="27">
      <c r="A27" s="70" t="s">
        <v>92</v>
      </c>
      <c r="B27" s="70" t="s">
        <v>543</v>
      </c>
      <c r="C27" s="70" t="s">
        <v>152</v>
      </c>
      <c r="D27" s="71">
        <v>0.4</v>
      </c>
      <c r="E27" s="71">
        <v>1.0</v>
      </c>
      <c r="F27" s="71">
        <v>1.0</v>
      </c>
      <c r="G27" s="71">
        <v>10.0</v>
      </c>
      <c r="I27" s="45" t="s">
        <v>130</v>
      </c>
      <c r="J27" s="45" t="s">
        <v>58</v>
      </c>
      <c r="K27" s="61">
        <v>1.0</v>
      </c>
      <c r="L27" s="45" t="s">
        <v>521</v>
      </c>
      <c r="N27" s="50" t="str">
        <f>IFERROR(__xludf.DUMMYFUNCTION("""COMPUTED_VALUE"""),"奶酪飛濺盤")</f>
        <v>奶酪飛濺盤</v>
      </c>
    </row>
    <row r="28">
      <c r="A28" s="70" t="s">
        <v>92</v>
      </c>
      <c r="B28" s="70" t="s">
        <v>525</v>
      </c>
      <c r="C28" s="70" t="s">
        <v>80</v>
      </c>
      <c r="D28" s="71">
        <v>0.2</v>
      </c>
      <c r="E28" s="71">
        <v>1.0</v>
      </c>
      <c r="F28" s="71">
        <v>1.0</v>
      </c>
      <c r="G28" s="71">
        <v>11.0</v>
      </c>
      <c r="I28" s="45" t="s">
        <v>130</v>
      </c>
      <c r="J28" s="45" t="s">
        <v>187</v>
      </c>
      <c r="K28" s="61">
        <v>1.0</v>
      </c>
      <c r="L28" s="45" t="s">
        <v>521</v>
      </c>
      <c r="N28" s="50" t="str">
        <f>IFERROR(__xludf.DUMMYFUNCTION("""COMPUTED_VALUE"""),"恐慌帕尼爾")</f>
        <v>恐慌帕尼爾</v>
      </c>
    </row>
    <row r="29">
      <c r="A29" s="70" t="s">
        <v>92</v>
      </c>
      <c r="B29" s="70" t="s">
        <v>527</v>
      </c>
      <c r="C29" s="70" t="s">
        <v>80</v>
      </c>
      <c r="D29" s="71">
        <v>0.1</v>
      </c>
      <c r="E29" s="71">
        <v>1.0</v>
      </c>
      <c r="F29" s="71">
        <v>1.0</v>
      </c>
      <c r="G29" s="71">
        <v>12.0</v>
      </c>
      <c r="I29" s="45" t="s">
        <v>130</v>
      </c>
      <c r="J29" s="45" t="s">
        <v>158</v>
      </c>
      <c r="K29" s="61">
        <v>1.0</v>
      </c>
      <c r="L29" s="45" t="s">
        <v>534</v>
      </c>
      <c r="N29" s="50" t="str">
        <f>IFERROR(__xludf.DUMMYFUNCTION("""COMPUTED_VALUE"""),"殺戮芝士麵")</f>
        <v>殺戮芝士麵</v>
      </c>
    </row>
    <row r="30">
      <c r="A30" s="45" t="s">
        <v>103</v>
      </c>
      <c r="B30" s="45" t="s">
        <v>520</v>
      </c>
      <c r="C30" s="45" t="s">
        <v>53</v>
      </c>
      <c r="D30" s="61">
        <v>0.2</v>
      </c>
      <c r="E30" s="61">
        <v>1.0</v>
      </c>
      <c r="F30" s="61">
        <v>3.0</v>
      </c>
      <c r="G30" s="61">
        <v>1.0</v>
      </c>
      <c r="I30" s="45" t="s">
        <v>144</v>
      </c>
      <c r="J30" s="45" t="s">
        <v>176</v>
      </c>
      <c r="K30" s="61">
        <v>0.5</v>
      </c>
      <c r="L30" s="45" t="s">
        <v>521</v>
      </c>
      <c r="N30" s="50" t="str">
        <f>IFERROR(__xludf.DUMMYFUNCTION("""COMPUTED_VALUE"""),"恐懼炸芝士")</f>
        <v>恐懼炸芝士</v>
      </c>
    </row>
    <row r="31">
      <c r="A31" s="45" t="s">
        <v>103</v>
      </c>
      <c r="B31" s="45" t="s">
        <v>54</v>
      </c>
      <c r="C31" s="45" t="s">
        <v>237</v>
      </c>
      <c r="D31" s="61">
        <v>0.2</v>
      </c>
      <c r="E31" s="61">
        <v>1.0</v>
      </c>
      <c r="F31" s="61">
        <v>2.0</v>
      </c>
      <c r="G31" s="61">
        <v>2.0</v>
      </c>
      <c r="I31" s="45" t="s">
        <v>144</v>
      </c>
      <c r="J31" s="45" t="s">
        <v>187</v>
      </c>
      <c r="K31" s="61">
        <v>1.0</v>
      </c>
      <c r="L31" s="45" t="s">
        <v>521</v>
      </c>
      <c r="N31" s="50" t="str">
        <f>IFERROR(__xludf.DUMMYFUNCTION("""COMPUTED_VALUE"""),"毒蘑菇·肉")</f>
        <v>毒蘑菇·肉</v>
      </c>
    </row>
    <row r="32">
      <c r="A32" s="45" t="s">
        <v>103</v>
      </c>
      <c r="B32" s="45" t="s">
        <v>544</v>
      </c>
      <c r="C32" s="45" t="s">
        <v>198</v>
      </c>
      <c r="D32" s="61">
        <v>0.2</v>
      </c>
      <c r="E32" s="61">
        <v>1.0</v>
      </c>
      <c r="F32" s="61">
        <v>2.0</v>
      </c>
      <c r="G32" s="61">
        <v>3.0</v>
      </c>
      <c r="I32" s="45" t="s">
        <v>144</v>
      </c>
      <c r="J32" s="45" t="s">
        <v>59</v>
      </c>
      <c r="K32" s="61">
        <v>1.0</v>
      </c>
      <c r="L32" s="45" t="s">
        <v>521</v>
      </c>
      <c r="N32" s="50" t="str">
        <f>IFERROR(__xludf.DUMMYFUNCTION("""COMPUTED_VALUE"""),"罪人炒飯")</f>
        <v>罪人炒飯</v>
      </c>
    </row>
    <row r="33">
      <c r="A33" s="45" t="s">
        <v>103</v>
      </c>
      <c r="B33" s="45" t="s">
        <v>545</v>
      </c>
      <c r="C33" s="45" t="s">
        <v>227</v>
      </c>
      <c r="D33" s="61">
        <v>0.25</v>
      </c>
      <c r="E33" s="61">
        <v>1.0</v>
      </c>
      <c r="F33" s="61">
        <v>2.0</v>
      </c>
      <c r="G33" s="61">
        <v>4.0</v>
      </c>
      <c r="I33" s="45" t="s">
        <v>144</v>
      </c>
      <c r="J33" s="45" t="s">
        <v>56</v>
      </c>
      <c r="K33" s="61">
        <v>1.0</v>
      </c>
      <c r="L33" s="45" t="s">
        <v>521</v>
      </c>
      <c r="N33" s="50" t="str">
        <f>IFERROR(__xludf.DUMMYFUNCTION("""COMPUTED_VALUE"""),"骨味炸米團")</f>
        <v>骨味炸米團</v>
      </c>
    </row>
    <row r="34">
      <c r="A34" s="45" t="s">
        <v>103</v>
      </c>
      <c r="B34" s="45" t="s">
        <v>536</v>
      </c>
      <c r="C34" s="45" t="s">
        <v>207</v>
      </c>
      <c r="D34" s="61">
        <v>0.25</v>
      </c>
      <c r="E34" s="61">
        <v>1.0</v>
      </c>
      <c r="F34" s="61">
        <v>2.0</v>
      </c>
      <c r="G34" s="61">
        <v>5.0</v>
      </c>
      <c r="I34" s="45" t="s">
        <v>144</v>
      </c>
      <c r="J34" s="45" t="s">
        <v>58</v>
      </c>
      <c r="K34" s="61">
        <v>1.0</v>
      </c>
      <c r="L34" s="45" t="s">
        <v>521</v>
      </c>
      <c r="N34" s="50" t="str">
        <f>IFERROR(__xludf.DUMMYFUNCTION("""COMPUTED_VALUE"""),"撒旦紅燴飯")</f>
        <v>撒旦紅燴飯</v>
      </c>
    </row>
    <row r="35">
      <c r="A35" s="45" t="s">
        <v>103</v>
      </c>
      <c r="B35" s="45" t="s">
        <v>537</v>
      </c>
      <c r="C35" s="45" t="s">
        <v>142</v>
      </c>
      <c r="D35" s="61">
        <v>1.0</v>
      </c>
      <c r="E35" s="61">
        <v>1.0</v>
      </c>
      <c r="F35" s="61">
        <v>2.0</v>
      </c>
      <c r="G35" s="61">
        <v>6.0</v>
      </c>
      <c r="I35" s="45" t="s">
        <v>144</v>
      </c>
      <c r="J35" s="45" t="s">
        <v>160</v>
      </c>
      <c r="K35" s="61">
        <v>1.0</v>
      </c>
      <c r="L35" s="45" t="s">
        <v>534</v>
      </c>
      <c r="N35" s="50" t="str">
        <f>IFERROR(__xludf.DUMMYFUNCTION("""COMPUTED_VALUE"""),"幽靈肉汁奶酪薯條")</f>
        <v>幽靈肉汁奶酪薯條</v>
      </c>
    </row>
    <row r="36">
      <c r="A36" s="45" t="s">
        <v>103</v>
      </c>
      <c r="B36" s="45" t="s">
        <v>542</v>
      </c>
      <c r="C36" s="45" t="s">
        <v>142</v>
      </c>
      <c r="D36" s="61">
        <v>1.0</v>
      </c>
      <c r="E36" s="61">
        <v>1.0</v>
      </c>
      <c r="F36" s="61">
        <v>2.0</v>
      </c>
      <c r="G36" s="61">
        <v>7.0</v>
      </c>
      <c r="I36" s="45" t="s">
        <v>144</v>
      </c>
      <c r="J36" s="45" t="s">
        <v>158</v>
      </c>
      <c r="K36" s="61">
        <v>2.0</v>
      </c>
      <c r="L36" s="45" t="s">
        <v>534</v>
      </c>
      <c r="N36" s="50" t="str">
        <f>IFERROR(__xludf.DUMMYFUNCTION("""COMPUTED_VALUE"""),"痛擊漢堡")</f>
        <v>痛擊漢堡</v>
      </c>
    </row>
    <row r="37">
      <c r="A37" s="45" t="s">
        <v>103</v>
      </c>
      <c r="B37" s="45" t="s">
        <v>538</v>
      </c>
      <c r="C37" s="45" t="s">
        <v>152</v>
      </c>
      <c r="D37" s="61">
        <v>0.4</v>
      </c>
      <c r="E37" s="61">
        <v>1.0</v>
      </c>
      <c r="F37" s="61">
        <v>1.0</v>
      </c>
      <c r="G37" s="61">
        <v>8.0</v>
      </c>
      <c r="I37" s="45" t="s">
        <v>165</v>
      </c>
      <c r="J37" s="45" t="s">
        <v>135</v>
      </c>
      <c r="K37" s="61">
        <v>1.0</v>
      </c>
      <c r="L37" s="45" t="s">
        <v>521</v>
      </c>
      <c r="N37" s="50" t="str">
        <f>IFERROR(__xludf.DUMMYFUNCTION("""COMPUTED_VALUE"""),"刺菠蘿披薩")</f>
        <v>刺菠蘿披薩</v>
      </c>
    </row>
    <row r="38">
      <c r="A38" s="45" t="s">
        <v>103</v>
      </c>
      <c r="B38" s="45" t="s">
        <v>539</v>
      </c>
      <c r="C38" s="45" t="s">
        <v>152</v>
      </c>
      <c r="D38" s="61">
        <v>0.2</v>
      </c>
      <c r="E38" s="61">
        <v>1.0</v>
      </c>
      <c r="F38" s="61">
        <v>1.0</v>
      </c>
      <c r="G38" s="61">
        <v>9.0</v>
      </c>
      <c r="I38" s="45" t="s">
        <v>165</v>
      </c>
      <c r="J38" s="45" t="s">
        <v>59</v>
      </c>
      <c r="K38" s="61">
        <v>2.0</v>
      </c>
      <c r="L38" s="45" t="s">
        <v>521</v>
      </c>
      <c r="N38" s="50" t="str">
        <f>IFERROR(__xludf.DUMMYFUNCTION("""COMPUTED_VALUE"""),"殺手薄餅")</f>
        <v>殺手薄餅</v>
      </c>
    </row>
    <row r="39">
      <c r="A39" s="45" t="s">
        <v>103</v>
      </c>
      <c r="B39" s="45" t="s">
        <v>543</v>
      </c>
      <c r="C39" s="45" t="s">
        <v>152</v>
      </c>
      <c r="D39" s="61">
        <v>0.4</v>
      </c>
      <c r="E39" s="61">
        <v>1.0</v>
      </c>
      <c r="F39" s="61">
        <v>1.0</v>
      </c>
      <c r="G39" s="61">
        <v>10.0</v>
      </c>
      <c r="I39" s="45" t="s">
        <v>165</v>
      </c>
      <c r="J39" s="45" t="s">
        <v>187</v>
      </c>
      <c r="K39" s="61">
        <v>1.0</v>
      </c>
      <c r="L39" s="45" t="s">
        <v>521</v>
      </c>
      <c r="N39" s="50" t="str">
        <f>IFERROR(__xludf.DUMMYFUNCTION("""COMPUTED_VALUE"""),"混亂日式炒飯")</f>
        <v>混亂日式炒飯</v>
      </c>
    </row>
    <row r="40">
      <c r="A40" s="45" t="s">
        <v>103</v>
      </c>
      <c r="B40" s="45" t="s">
        <v>525</v>
      </c>
      <c r="C40" s="45" t="s">
        <v>80</v>
      </c>
      <c r="D40" s="61">
        <v>0.2</v>
      </c>
      <c r="E40" s="61">
        <v>1.0</v>
      </c>
      <c r="F40" s="61">
        <v>1.0</v>
      </c>
      <c r="G40" s="61">
        <v>11.0</v>
      </c>
      <c r="I40" s="45" t="s">
        <v>165</v>
      </c>
      <c r="J40" s="45" t="s">
        <v>163</v>
      </c>
      <c r="K40" s="61">
        <v>1.0</v>
      </c>
      <c r="L40" s="45" t="s">
        <v>534</v>
      </c>
      <c r="N40" s="50" t="str">
        <f>IFERROR(__xludf.DUMMYFUNCTION("""COMPUTED_VALUE"""),"爆烈雞肉飯")</f>
        <v>爆烈雞肉飯</v>
      </c>
    </row>
    <row r="41">
      <c r="A41" s="45" t="s">
        <v>103</v>
      </c>
      <c r="B41" s="45" t="s">
        <v>527</v>
      </c>
      <c r="C41" s="45" t="s">
        <v>80</v>
      </c>
      <c r="D41" s="61">
        <v>0.2</v>
      </c>
      <c r="E41" s="61">
        <v>1.0</v>
      </c>
      <c r="F41" s="61">
        <v>1.0</v>
      </c>
      <c r="G41" s="61">
        <v>12.0</v>
      </c>
      <c r="I41" s="45" t="s">
        <v>165</v>
      </c>
      <c r="J41" s="45" t="s">
        <v>158</v>
      </c>
      <c r="K41" s="61">
        <v>1.0</v>
      </c>
      <c r="L41" s="45" t="s">
        <v>534</v>
      </c>
      <c r="N41" s="50" t="str">
        <f>IFERROR(__xludf.DUMMYFUNCTION("""COMPUTED_VALUE"""),"驚嚇醃薑")</f>
        <v>驚嚇醃薑</v>
      </c>
    </row>
    <row r="42">
      <c r="A42" s="45" t="s">
        <v>114</v>
      </c>
      <c r="B42" s="45" t="s">
        <v>520</v>
      </c>
      <c r="C42" s="45" t="s">
        <v>53</v>
      </c>
      <c r="D42" s="61">
        <v>0.2</v>
      </c>
      <c r="E42" s="61">
        <v>1.0</v>
      </c>
      <c r="F42" s="61">
        <v>3.0</v>
      </c>
      <c r="G42" s="61">
        <v>1.0</v>
      </c>
      <c r="I42" s="45" t="s">
        <v>177</v>
      </c>
      <c r="J42" s="45" t="s">
        <v>135</v>
      </c>
      <c r="K42" s="61">
        <v>2.0</v>
      </c>
      <c r="L42" s="45" t="s">
        <v>521</v>
      </c>
    </row>
    <row r="43">
      <c r="A43" s="45" t="s">
        <v>114</v>
      </c>
      <c r="B43" s="45" t="s">
        <v>54</v>
      </c>
      <c r="C43" s="45" t="s">
        <v>237</v>
      </c>
      <c r="D43" s="61">
        <v>0.2</v>
      </c>
      <c r="E43" s="61">
        <v>1.0</v>
      </c>
      <c r="F43" s="61">
        <v>2.0</v>
      </c>
      <c r="G43" s="61">
        <v>2.0</v>
      </c>
      <c r="I43" s="45" t="s">
        <v>177</v>
      </c>
      <c r="J43" s="45" t="s">
        <v>56</v>
      </c>
      <c r="K43" s="61">
        <v>2.0</v>
      </c>
      <c r="L43" s="45" t="s">
        <v>521</v>
      </c>
    </row>
    <row r="44">
      <c r="A44" s="45" t="s">
        <v>114</v>
      </c>
      <c r="B44" s="45" t="s">
        <v>117</v>
      </c>
      <c r="C44" s="45" t="s">
        <v>159</v>
      </c>
      <c r="D44" s="61">
        <v>0.2</v>
      </c>
      <c r="E44" s="61">
        <v>1.0</v>
      </c>
      <c r="F44" s="61">
        <v>2.0</v>
      </c>
      <c r="G44" s="61">
        <v>3.0</v>
      </c>
      <c r="I44" s="45" t="s">
        <v>177</v>
      </c>
      <c r="J44" s="45" t="s">
        <v>59</v>
      </c>
      <c r="K44" s="61">
        <v>1.0</v>
      </c>
      <c r="L44" s="45" t="s">
        <v>521</v>
      </c>
    </row>
    <row r="45">
      <c r="A45" s="45" t="s">
        <v>114</v>
      </c>
      <c r="B45" s="45" t="s">
        <v>546</v>
      </c>
      <c r="C45" s="45" t="s">
        <v>207</v>
      </c>
      <c r="D45" s="61">
        <v>0.25</v>
      </c>
      <c r="E45" s="61">
        <v>1.0</v>
      </c>
      <c r="F45" s="61">
        <v>2.0</v>
      </c>
      <c r="G45" s="61">
        <v>4.0</v>
      </c>
      <c r="I45" s="45" t="s">
        <v>177</v>
      </c>
      <c r="J45" s="45" t="s">
        <v>187</v>
      </c>
      <c r="K45" s="61">
        <v>1.0</v>
      </c>
      <c r="L45" s="45" t="s">
        <v>521</v>
      </c>
    </row>
    <row r="46">
      <c r="A46" s="45" t="s">
        <v>114</v>
      </c>
      <c r="B46" s="45" t="s">
        <v>527</v>
      </c>
      <c r="C46" s="45" t="s">
        <v>80</v>
      </c>
      <c r="D46" s="61">
        <v>0.1</v>
      </c>
      <c r="E46" s="61">
        <v>1.0</v>
      </c>
      <c r="F46" s="61">
        <v>1.0</v>
      </c>
      <c r="G46" s="61">
        <v>5.0</v>
      </c>
      <c r="I46" s="45" t="s">
        <v>177</v>
      </c>
      <c r="J46" s="45" t="s">
        <v>163</v>
      </c>
      <c r="K46" s="61">
        <v>1.0</v>
      </c>
      <c r="L46" s="45" t="s">
        <v>534</v>
      </c>
    </row>
    <row r="47">
      <c r="A47" s="45" t="s">
        <v>114</v>
      </c>
      <c r="B47" s="45" t="s">
        <v>525</v>
      </c>
      <c r="C47" s="45" t="s">
        <v>80</v>
      </c>
      <c r="D47" s="61">
        <v>0.2</v>
      </c>
      <c r="E47" s="61">
        <v>1.0</v>
      </c>
      <c r="F47" s="61">
        <v>1.0</v>
      </c>
      <c r="G47" s="61">
        <v>6.0</v>
      </c>
      <c r="I47" s="45" t="s">
        <v>177</v>
      </c>
      <c r="J47" s="45" t="s">
        <v>158</v>
      </c>
      <c r="K47" s="61">
        <v>1.0</v>
      </c>
      <c r="L47" s="45" t="s">
        <v>534</v>
      </c>
    </row>
    <row r="48">
      <c r="A48" s="45" t="s">
        <v>114</v>
      </c>
      <c r="B48" s="45" t="s">
        <v>528</v>
      </c>
      <c r="C48" s="45" t="s">
        <v>28</v>
      </c>
      <c r="D48" s="61">
        <v>0.2</v>
      </c>
      <c r="E48" s="61">
        <v>1.0</v>
      </c>
      <c r="F48" s="61">
        <v>1.0</v>
      </c>
      <c r="G48" s="61">
        <v>7.0</v>
      </c>
      <c r="I48" s="45" t="s">
        <v>189</v>
      </c>
      <c r="J48" s="45" t="s">
        <v>176</v>
      </c>
      <c r="K48" s="61">
        <v>0.25</v>
      </c>
      <c r="L48" s="45" t="s">
        <v>521</v>
      </c>
    </row>
    <row r="49">
      <c r="A49" s="45" t="s">
        <v>114</v>
      </c>
      <c r="B49" s="45" t="s">
        <v>543</v>
      </c>
      <c r="C49" s="45" t="s">
        <v>152</v>
      </c>
      <c r="D49" s="61">
        <v>0.2</v>
      </c>
      <c r="E49" s="61">
        <v>1.0</v>
      </c>
      <c r="F49" s="61">
        <v>1.0</v>
      </c>
      <c r="G49" s="61">
        <v>8.0</v>
      </c>
      <c r="I49" s="45" t="s">
        <v>189</v>
      </c>
      <c r="J49" s="45" t="s">
        <v>135</v>
      </c>
      <c r="K49" s="61">
        <v>1.0</v>
      </c>
      <c r="L49" s="45" t="s">
        <v>521</v>
      </c>
    </row>
    <row r="50">
      <c r="A50" s="45" t="s">
        <v>130</v>
      </c>
      <c r="B50" s="45" t="s">
        <v>520</v>
      </c>
      <c r="C50" s="45" t="s">
        <v>53</v>
      </c>
      <c r="D50" s="61">
        <v>0.2</v>
      </c>
      <c r="E50" s="61">
        <v>1.0</v>
      </c>
      <c r="F50" s="61">
        <v>3.0</v>
      </c>
      <c r="G50" s="61">
        <v>1.0</v>
      </c>
      <c r="I50" s="45" t="s">
        <v>189</v>
      </c>
      <c r="J50" s="45" t="s">
        <v>59</v>
      </c>
      <c r="K50" s="61">
        <v>1.0</v>
      </c>
      <c r="L50" s="45" t="s">
        <v>521</v>
      </c>
    </row>
    <row r="51">
      <c r="A51" s="45" t="s">
        <v>130</v>
      </c>
      <c r="B51" s="45" t="s">
        <v>547</v>
      </c>
      <c r="C51" s="45" t="s">
        <v>207</v>
      </c>
      <c r="D51" s="61">
        <v>0.25</v>
      </c>
      <c r="E51" s="61">
        <v>1.0</v>
      </c>
      <c r="F51" s="61">
        <v>2.0</v>
      </c>
      <c r="G51" s="61">
        <v>2.0</v>
      </c>
      <c r="I51" s="45" t="s">
        <v>189</v>
      </c>
      <c r="J51" s="45" t="s">
        <v>58</v>
      </c>
      <c r="K51" s="61">
        <v>1.0</v>
      </c>
      <c r="L51" s="45" t="s">
        <v>521</v>
      </c>
    </row>
    <row r="52">
      <c r="A52" s="45" t="s">
        <v>130</v>
      </c>
      <c r="B52" s="45" t="s">
        <v>525</v>
      </c>
      <c r="C52" s="45" t="s">
        <v>80</v>
      </c>
      <c r="D52" s="61">
        <v>0.2</v>
      </c>
      <c r="E52" s="61">
        <v>1.0</v>
      </c>
      <c r="F52" s="61">
        <v>1.0</v>
      </c>
      <c r="G52" s="61">
        <v>3.0</v>
      </c>
      <c r="I52" s="45" t="s">
        <v>189</v>
      </c>
      <c r="J52" s="45" t="s">
        <v>163</v>
      </c>
      <c r="K52" s="61">
        <v>1.5</v>
      </c>
      <c r="L52" s="45" t="s">
        <v>534</v>
      </c>
    </row>
    <row r="53">
      <c r="A53" s="45" t="s">
        <v>130</v>
      </c>
      <c r="B53" s="45" t="s">
        <v>528</v>
      </c>
      <c r="C53" s="45" t="s">
        <v>28</v>
      </c>
      <c r="D53" s="61">
        <v>0.2</v>
      </c>
      <c r="E53" s="61">
        <v>1.0</v>
      </c>
      <c r="F53" s="61">
        <v>1.0</v>
      </c>
      <c r="G53" s="61">
        <v>4.0</v>
      </c>
      <c r="I53" s="45" t="s">
        <v>189</v>
      </c>
      <c r="J53" s="45" t="s">
        <v>158</v>
      </c>
      <c r="K53" s="61">
        <v>1.0</v>
      </c>
      <c r="L53" s="45" t="s">
        <v>534</v>
      </c>
    </row>
    <row r="54">
      <c r="A54" s="45" t="s">
        <v>130</v>
      </c>
      <c r="B54" s="45" t="s">
        <v>531</v>
      </c>
      <c r="C54" s="45" t="s">
        <v>28</v>
      </c>
      <c r="D54" s="61">
        <v>0.2</v>
      </c>
      <c r="E54" s="61">
        <v>1.0</v>
      </c>
      <c r="F54" s="61">
        <v>1.0</v>
      </c>
      <c r="G54" s="61">
        <v>5.0</v>
      </c>
      <c r="I54" s="45" t="s">
        <v>196</v>
      </c>
      <c r="J54" s="45" t="s">
        <v>176</v>
      </c>
      <c r="K54" s="61">
        <v>0.25</v>
      </c>
      <c r="L54" s="45" t="s">
        <v>521</v>
      </c>
    </row>
    <row r="55">
      <c r="A55" s="45" t="s">
        <v>130</v>
      </c>
      <c r="B55" s="45" t="s">
        <v>539</v>
      </c>
      <c r="C55" s="45" t="s">
        <v>152</v>
      </c>
      <c r="D55" s="61">
        <v>0.2</v>
      </c>
      <c r="E55" s="61">
        <v>1.0</v>
      </c>
      <c r="F55" s="61">
        <v>1.0</v>
      </c>
      <c r="G55" s="61">
        <v>6.0</v>
      </c>
      <c r="I55" s="45" t="s">
        <v>196</v>
      </c>
      <c r="J55" s="45" t="s">
        <v>187</v>
      </c>
      <c r="K55" s="61">
        <v>1.0</v>
      </c>
      <c r="L55" s="45" t="s">
        <v>521</v>
      </c>
    </row>
    <row r="56">
      <c r="A56" s="45" t="s">
        <v>144</v>
      </c>
      <c r="B56" s="45" t="s">
        <v>520</v>
      </c>
      <c r="C56" s="45" t="s">
        <v>53</v>
      </c>
      <c r="D56" s="61">
        <v>0.2</v>
      </c>
      <c r="E56" s="61">
        <v>1.0</v>
      </c>
      <c r="F56" s="61">
        <v>3.0</v>
      </c>
      <c r="G56" s="61">
        <v>1.0</v>
      </c>
      <c r="I56" s="45" t="s">
        <v>196</v>
      </c>
      <c r="J56" s="45" t="s">
        <v>135</v>
      </c>
      <c r="K56" s="61">
        <v>1.0</v>
      </c>
      <c r="L56" s="45" t="s">
        <v>521</v>
      </c>
    </row>
    <row r="57">
      <c r="A57" s="45" t="s">
        <v>144</v>
      </c>
      <c r="B57" s="45" t="s">
        <v>146</v>
      </c>
      <c r="C57" s="45" t="s">
        <v>237</v>
      </c>
      <c r="D57" s="45">
        <v>0.2</v>
      </c>
      <c r="E57" s="61">
        <v>1.0</v>
      </c>
      <c r="F57" s="61">
        <v>2.0</v>
      </c>
      <c r="G57" s="61">
        <v>2.0</v>
      </c>
      <c r="I57" s="45" t="s">
        <v>196</v>
      </c>
      <c r="J57" s="45" t="s">
        <v>56</v>
      </c>
      <c r="K57" s="61">
        <v>1.0</v>
      </c>
      <c r="L57" s="45" t="s">
        <v>521</v>
      </c>
    </row>
    <row r="58">
      <c r="A58" s="45" t="s">
        <v>144</v>
      </c>
      <c r="B58" s="45" t="s">
        <v>533</v>
      </c>
      <c r="C58" s="45" t="s">
        <v>198</v>
      </c>
      <c r="D58" s="61">
        <v>0.2</v>
      </c>
      <c r="E58" s="61">
        <v>1.0</v>
      </c>
      <c r="F58" s="61">
        <v>2.0</v>
      </c>
      <c r="G58" s="61">
        <v>3.0</v>
      </c>
      <c r="I58" s="45" t="s">
        <v>196</v>
      </c>
      <c r="J58" s="45" t="s">
        <v>202</v>
      </c>
      <c r="K58" s="61">
        <v>1.0</v>
      </c>
      <c r="L58" s="45" t="s">
        <v>521</v>
      </c>
    </row>
    <row r="59">
      <c r="A59" s="45" t="s">
        <v>144</v>
      </c>
      <c r="B59" s="45" t="s">
        <v>535</v>
      </c>
      <c r="C59" s="45" t="s">
        <v>227</v>
      </c>
      <c r="D59" s="61">
        <v>0.25</v>
      </c>
      <c r="E59" s="61">
        <v>1.0</v>
      </c>
      <c r="F59" s="61">
        <v>2.0</v>
      </c>
      <c r="G59" s="61">
        <v>4.0</v>
      </c>
      <c r="I59" s="45" t="s">
        <v>196</v>
      </c>
      <c r="J59" s="45" t="s">
        <v>163</v>
      </c>
      <c r="K59" s="61">
        <v>1.5</v>
      </c>
      <c r="L59" s="45" t="s">
        <v>534</v>
      </c>
    </row>
    <row r="60">
      <c r="A60" s="45" t="s">
        <v>144</v>
      </c>
      <c r="B60" s="45" t="s">
        <v>536</v>
      </c>
      <c r="C60" s="45" t="s">
        <v>207</v>
      </c>
      <c r="D60" s="61">
        <v>0.25</v>
      </c>
      <c r="E60" s="61">
        <v>1.0</v>
      </c>
      <c r="F60" s="61">
        <v>2.0</v>
      </c>
      <c r="G60" s="61">
        <v>5.0</v>
      </c>
      <c r="I60" s="45" t="s">
        <v>196</v>
      </c>
      <c r="J60" s="45" t="s">
        <v>158</v>
      </c>
      <c r="K60" s="61">
        <v>2.0</v>
      </c>
      <c r="L60" s="45" t="s">
        <v>534</v>
      </c>
    </row>
    <row r="61">
      <c r="A61" s="45" t="s">
        <v>144</v>
      </c>
      <c r="B61" s="45" t="s">
        <v>537</v>
      </c>
      <c r="C61" s="45" t="s">
        <v>142</v>
      </c>
      <c r="D61" s="61">
        <v>1.0</v>
      </c>
      <c r="E61" s="61">
        <v>1.0</v>
      </c>
      <c r="F61" s="61">
        <v>2.0</v>
      </c>
      <c r="G61" s="61">
        <v>6.0</v>
      </c>
      <c r="I61" s="45" t="s">
        <v>208</v>
      </c>
      <c r="J61" s="45" t="s">
        <v>176</v>
      </c>
      <c r="K61" s="61">
        <v>0.25</v>
      </c>
      <c r="L61" s="45" t="s">
        <v>521</v>
      </c>
    </row>
    <row r="62">
      <c r="A62" s="45" t="s">
        <v>144</v>
      </c>
      <c r="B62" s="45" t="s">
        <v>538</v>
      </c>
      <c r="C62" s="45" t="s">
        <v>152</v>
      </c>
      <c r="D62" s="61">
        <v>0.4</v>
      </c>
      <c r="E62" s="61">
        <v>1.0</v>
      </c>
      <c r="F62" s="61">
        <v>1.0</v>
      </c>
      <c r="G62" s="61">
        <v>7.0</v>
      </c>
      <c r="I62" s="45" t="s">
        <v>208</v>
      </c>
      <c r="J62" s="45" t="s">
        <v>187</v>
      </c>
      <c r="K62" s="61">
        <v>1.0</v>
      </c>
      <c r="L62" s="45" t="s">
        <v>521</v>
      </c>
    </row>
    <row r="63">
      <c r="A63" s="45" t="s">
        <v>144</v>
      </c>
      <c r="B63" s="45" t="s">
        <v>539</v>
      </c>
      <c r="C63" s="45" t="s">
        <v>152</v>
      </c>
      <c r="D63" s="61">
        <v>0.2</v>
      </c>
      <c r="E63" s="61">
        <v>1.0</v>
      </c>
      <c r="F63" s="61">
        <v>1.0</v>
      </c>
      <c r="G63" s="61">
        <v>8.0</v>
      </c>
      <c r="I63" s="45" t="s">
        <v>208</v>
      </c>
      <c r="J63" s="45" t="s">
        <v>135</v>
      </c>
      <c r="K63" s="61">
        <v>1.0</v>
      </c>
      <c r="L63" s="45" t="s">
        <v>521</v>
      </c>
    </row>
    <row r="64">
      <c r="A64" s="45" t="s">
        <v>144</v>
      </c>
      <c r="B64" s="45" t="s">
        <v>527</v>
      </c>
      <c r="C64" s="45" t="s">
        <v>80</v>
      </c>
      <c r="D64" s="61">
        <v>0.2</v>
      </c>
      <c r="E64" s="61">
        <v>1.0</v>
      </c>
      <c r="F64" s="61">
        <v>1.0</v>
      </c>
      <c r="G64" s="61">
        <v>9.0</v>
      </c>
      <c r="I64" s="45" t="s">
        <v>208</v>
      </c>
      <c r="J64" s="45" t="s">
        <v>59</v>
      </c>
      <c r="K64" s="61">
        <v>1.0</v>
      </c>
      <c r="L64" s="45" t="s">
        <v>521</v>
      </c>
    </row>
    <row r="65">
      <c r="A65" s="45" t="s">
        <v>144</v>
      </c>
      <c r="B65" s="45" t="s">
        <v>528</v>
      </c>
      <c r="C65" s="45" t="s">
        <v>28</v>
      </c>
      <c r="D65" s="61">
        <v>0.2</v>
      </c>
      <c r="E65" s="61">
        <v>1.0</v>
      </c>
      <c r="F65" s="61">
        <v>1.0</v>
      </c>
      <c r="G65" s="61">
        <v>10.0</v>
      </c>
      <c r="I65" s="45" t="s">
        <v>208</v>
      </c>
      <c r="J65" s="45" t="s">
        <v>56</v>
      </c>
      <c r="K65" s="61">
        <v>1.0</v>
      </c>
      <c r="L65" s="45" t="s">
        <v>521</v>
      </c>
    </row>
    <row r="66">
      <c r="A66" s="45" t="s">
        <v>144</v>
      </c>
      <c r="B66" s="45" t="s">
        <v>531</v>
      </c>
      <c r="C66" s="45" t="s">
        <v>28</v>
      </c>
      <c r="D66" s="61">
        <v>0.2</v>
      </c>
      <c r="E66" s="61">
        <v>1.0</v>
      </c>
      <c r="F66" s="61">
        <v>1.0</v>
      </c>
      <c r="G66" s="61">
        <v>11.0</v>
      </c>
      <c r="I66" s="45" t="s">
        <v>208</v>
      </c>
      <c r="J66" s="45" t="s">
        <v>202</v>
      </c>
      <c r="K66" s="61">
        <v>1.0</v>
      </c>
      <c r="L66" s="45" t="s">
        <v>521</v>
      </c>
    </row>
    <row r="67">
      <c r="A67" s="45" t="s">
        <v>165</v>
      </c>
      <c r="B67" s="45" t="s">
        <v>520</v>
      </c>
      <c r="C67" s="45" t="s">
        <v>53</v>
      </c>
      <c r="D67" s="61">
        <v>0.2</v>
      </c>
      <c r="E67" s="61">
        <v>1.0</v>
      </c>
      <c r="F67" s="61">
        <v>3.0</v>
      </c>
      <c r="G67" s="61">
        <v>1.0</v>
      </c>
      <c r="I67" s="45" t="s">
        <v>208</v>
      </c>
      <c r="J67" s="45" t="s">
        <v>58</v>
      </c>
      <c r="K67" s="61">
        <v>1.0</v>
      </c>
      <c r="L67" s="45" t="s">
        <v>521</v>
      </c>
    </row>
    <row r="68">
      <c r="A68" s="45" t="s">
        <v>165</v>
      </c>
      <c r="B68" s="45" t="s">
        <v>54</v>
      </c>
      <c r="C68" s="45" t="s">
        <v>237</v>
      </c>
      <c r="D68" s="45">
        <v>0.2</v>
      </c>
      <c r="E68" s="61">
        <v>1.0</v>
      </c>
      <c r="F68" s="61">
        <v>2.0</v>
      </c>
      <c r="G68" s="61">
        <v>2.0</v>
      </c>
      <c r="I68" s="45" t="s">
        <v>208</v>
      </c>
      <c r="J68" s="45" t="s">
        <v>163</v>
      </c>
      <c r="K68" s="61">
        <v>1.5</v>
      </c>
      <c r="L68" s="45" t="s">
        <v>534</v>
      </c>
    </row>
    <row r="69">
      <c r="A69" s="45" t="s">
        <v>165</v>
      </c>
      <c r="B69" s="45" t="s">
        <v>167</v>
      </c>
      <c r="C69" s="45" t="s">
        <v>159</v>
      </c>
      <c r="D69" s="61">
        <v>0.2</v>
      </c>
      <c r="E69" s="61">
        <v>1.0</v>
      </c>
      <c r="F69" s="61">
        <v>2.0</v>
      </c>
      <c r="G69" s="61">
        <v>3.0</v>
      </c>
      <c r="I69" s="45" t="s">
        <v>208</v>
      </c>
      <c r="J69" s="45" t="s">
        <v>158</v>
      </c>
      <c r="K69" s="61">
        <v>2.0</v>
      </c>
      <c r="L69" s="45" t="s">
        <v>534</v>
      </c>
    </row>
    <row r="70">
      <c r="A70" s="45" t="s">
        <v>165</v>
      </c>
      <c r="B70" s="45" t="s">
        <v>527</v>
      </c>
      <c r="C70" s="45" t="s">
        <v>80</v>
      </c>
      <c r="D70" s="61">
        <v>0.2</v>
      </c>
      <c r="E70" s="61">
        <v>1.0</v>
      </c>
      <c r="F70" s="61">
        <v>1.0</v>
      </c>
      <c r="G70" s="61">
        <v>4.0</v>
      </c>
      <c r="I70" s="45" t="s">
        <v>221</v>
      </c>
      <c r="J70" s="45" t="s">
        <v>135</v>
      </c>
      <c r="K70" s="61">
        <v>1.0</v>
      </c>
      <c r="L70" s="45" t="s">
        <v>521</v>
      </c>
    </row>
    <row r="71">
      <c r="A71" s="45" t="s">
        <v>165</v>
      </c>
      <c r="B71" s="45" t="s">
        <v>525</v>
      </c>
      <c r="C71" s="45" t="s">
        <v>80</v>
      </c>
      <c r="D71" s="61">
        <v>0.2</v>
      </c>
      <c r="E71" s="61">
        <v>1.0</v>
      </c>
      <c r="F71" s="61">
        <v>1.0</v>
      </c>
      <c r="G71" s="61">
        <v>5.0</v>
      </c>
      <c r="I71" s="45" t="s">
        <v>221</v>
      </c>
      <c r="J71" s="45" t="s">
        <v>224</v>
      </c>
      <c r="K71" s="61">
        <v>1.0</v>
      </c>
      <c r="L71" s="45" t="s">
        <v>521</v>
      </c>
    </row>
    <row r="72">
      <c r="A72" s="45" t="s">
        <v>165</v>
      </c>
      <c r="B72" s="45" t="s">
        <v>539</v>
      </c>
      <c r="C72" s="45" t="s">
        <v>152</v>
      </c>
      <c r="D72" s="61">
        <v>0.2</v>
      </c>
      <c r="E72" s="61">
        <v>1.0</v>
      </c>
      <c r="F72" s="61">
        <v>1.0</v>
      </c>
      <c r="G72" s="61">
        <v>6.0</v>
      </c>
      <c r="I72" s="45" t="s">
        <v>221</v>
      </c>
      <c r="J72" s="45" t="s">
        <v>59</v>
      </c>
      <c r="K72" s="61">
        <v>1.0</v>
      </c>
      <c r="L72" s="45" t="s">
        <v>521</v>
      </c>
    </row>
    <row r="73">
      <c r="A73" s="45" t="s">
        <v>177</v>
      </c>
      <c r="B73" s="45" t="s">
        <v>520</v>
      </c>
      <c r="C73" s="45" t="s">
        <v>53</v>
      </c>
      <c r="D73" s="61">
        <v>0.2</v>
      </c>
      <c r="E73" s="61">
        <v>1.0</v>
      </c>
      <c r="F73" s="61">
        <v>3.0</v>
      </c>
      <c r="G73" s="61">
        <v>1.0</v>
      </c>
      <c r="I73" s="45" t="s">
        <v>231</v>
      </c>
      <c r="J73" s="45" t="s">
        <v>224</v>
      </c>
      <c r="K73" s="61">
        <v>1.0</v>
      </c>
      <c r="L73" s="45" t="s">
        <v>521</v>
      </c>
    </row>
    <row r="74">
      <c r="A74" s="45" t="s">
        <v>177</v>
      </c>
      <c r="B74" s="45" t="s">
        <v>54</v>
      </c>
      <c r="C74" s="45" t="s">
        <v>237</v>
      </c>
      <c r="D74" s="45">
        <v>0.2</v>
      </c>
      <c r="E74" s="61">
        <v>1.0</v>
      </c>
      <c r="F74" s="61">
        <v>2.0</v>
      </c>
      <c r="G74" s="61">
        <v>2.0</v>
      </c>
      <c r="I74" s="45" t="s">
        <v>231</v>
      </c>
      <c r="J74" s="45" t="s">
        <v>59</v>
      </c>
      <c r="K74" s="61">
        <v>1.0</v>
      </c>
      <c r="L74" s="45" t="s">
        <v>521</v>
      </c>
    </row>
    <row r="75">
      <c r="A75" s="45" t="s">
        <v>177</v>
      </c>
      <c r="B75" s="45" t="s">
        <v>549</v>
      </c>
      <c r="C75" s="45" t="s">
        <v>207</v>
      </c>
      <c r="D75" s="61">
        <v>0.25</v>
      </c>
      <c r="E75" s="61">
        <v>1.0</v>
      </c>
      <c r="F75" s="61">
        <v>2.0</v>
      </c>
      <c r="G75" s="61">
        <v>3.0</v>
      </c>
      <c r="I75" s="45" t="s">
        <v>231</v>
      </c>
      <c r="J75" s="45" t="s">
        <v>160</v>
      </c>
      <c r="K75" s="61">
        <v>1.0</v>
      </c>
      <c r="L75" s="45" t="s">
        <v>534</v>
      </c>
    </row>
    <row r="76">
      <c r="A76" s="45" t="s">
        <v>177</v>
      </c>
      <c r="B76" s="45" t="s">
        <v>167</v>
      </c>
      <c r="C76" s="45" t="s">
        <v>159</v>
      </c>
      <c r="D76" s="61">
        <v>0.2</v>
      </c>
      <c r="E76" s="61">
        <v>1.0</v>
      </c>
      <c r="F76" s="61">
        <v>2.0</v>
      </c>
      <c r="G76" s="61">
        <v>4.0</v>
      </c>
      <c r="I76" s="45" t="s">
        <v>236</v>
      </c>
      <c r="J76" s="45" t="s">
        <v>176</v>
      </c>
      <c r="K76" s="61">
        <v>0.5</v>
      </c>
      <c r="L76" s="45" t="s">
        <v>521</v>
      </c>
    </row>
    <row r="77">
      <c r="A77" s="45" t="s">
        <v>177</v>
      </c>
      <c r="B77" s="45" t="s">
        <v>525</v>
      </c>
      <c r="C77" s="45" t="s">
        <v>80</v>
      </c>
      <c r="D77" s="61">
        <v>0.2</v>
      </c>
      <c r="E77" s="61">
        <v>1.0</v>
      </c>
      <c r="F77" s="61">
        <v>1.0</v>
      </c>
      <c r="G77" s="61">
        <v>5.0</v>
      </c>
      <c r="I77" s="45" t="s">
        <v>236</v>
      </c>
      <c r="J77" s="45" t="s">
        <v>187</v>
      </c>
      <c r="K77" s="61">
        <v>1.0</v>
      </c>
      <c r="L77" s="45" t="s">
        <v>521</v>
      </c>
    </row>
    <row r="78">
      <c r="A78" s="45" t="s">
        <v>177</v>
      </c>
      <c r="B78" s="45" t="s">
        <v>528</v>
      </c>
      <c r="C78" s="45" t="s">
        <v>28</v>
      </c>
      <c r="D78" s="61">
        <v>0.1</v>
      </c>
      <c r="E78" s="61">
        <v>1.0</v>
      </c>
      <c r="F78" s="61">
        <v>1.0</v>
      </c>
      <c r="G78" s="61">
        <v>6.0</v>
      </c>
      <c r="I78" s="45" t="s">
        <v>236</v>
      </c>
      <c r="J78" s="45" t="s">
        <v>224</v>
      </c>
      <c r="K78" s="61">
        <v>1.0</v>
      </c>
      <c r="L78" s="45" t="s">
        <v>521</v>
      </c>
    </row>
    <row r="79">
      <c r="A79" s="45" t="s">
        <v>177</v>
      </c>
      <c r="B79" s="45" t="s">
        <v>527</v>
      </c>
      <c r="C79" s="45" t="s">
        <v>80</v>
      </c>
      <c r="D79" s="61">
        <v>0.2</v>
      </c>
      <c r="E79" s="61">
        <v>1.0</v>
      </c>
      <c r="F79" s="61">
        <v>1.0</v>
      </c>
      <c r="G79" s="61">
        <v>7.0</v>
      </c>
      <c r="I79" s="45" t="s">
        <v>236</v>
      </c>
      <c r="J79" s="45" t="s">
        <v>56</v>
      </c>
      <c r="K79" s="61">
        <v>1.0</v>
      </c>
      <c r="L79" s="45" t="s">
        <v>521</v>
      </c>
    </row>
    <row r="80">
      <c r="A80" s="45" t="s">
        <v>177</v>
      </c>
      <c r="B80" s="45" t="s">
        <v>539</v>
      </c>
      <c r="C80" s="45" t="s">
        <v>152</v>
      </c>
      <c r="D80" s="61">
        <v>0.2</v>
      </c>
      <c r="E80" s="61">
        <v>1.0</v>
      </c>
      <c r="F80" s="61">
        <v>1.0</v>
      </c>
      <c r="G80" s="61">
        <v>8.0</v>
      </c>
      <c r="I80" s="45" t="s">
        <v>236</v>
      </c>
      <c r="J80" s="45" t="s">
        <v>158</v>
      </c>
      <c r="K80" s="45">
        <v>2.0</v>
      </c>
      <c r="L80" s="45" t="s">
        <v>534</v>
      </c>
    </row>
    <row r="81">
      <c r="A81" s="45" t="s">
        <v>189</v>
      </c>
      <c r="B81" s="45" t="s">
        <v>520</v>
      </c>
      <c r="C81" s="45" t="s">
        <v>53</v>
      </c>
      <c r="D81" s="61">
        <v>0.2</v>
      </c>
      <c r="E81" s="61">
        <v>1.0</v>
      </c>
      <c r="F81" s="61">
        <v>3.0</v>
      </c>
      <c r="G81" s="61">
        <v>1.0</v>
      </c>
      <c r="I81" s="61" t="s">
        <v>92</v>
      </c>
      <c r="J81" s="61" t="s">
        <v>59</v>
      </c>
      <c r="K81" s="61">
        <v>2.0</v>
      </c>
      <c r="L81" s="61" t="s">
        <v>521</v>
      </c>
    </row>
    <row r="82">
      <c r="A82" s="45" t="s">
        <v>189</v>
      </c>
      <c r="B82" s="45" t="s">
        <v>54</v>
      </c>
      <c r="C82" s="45" t="s">
        <v>237</v>
      </c>
      <c r="D82" s="45">
        <v>0.2</v>
      </c>
      <c r="E82" s="61">
        <v>1.0</v>
      </c>
      <c r="F82" s="61">
        <v>2.0</v>
      </c>
      <c r="G82" s="61">
        <v>2.0</v>
      </c>
      <c r="I82" s="61" t="s">
        <v>92</v>
      </c>
      <c r="J82" s="61" t="s">
        <v>187</v>
      </c>
      <c r="K82" s="61">
        <v>1.0</v>
      </c>
      <c r="L82" s="61" t="s">
        <v>521</v>
      </c>
    </row>
    <row r="83">
      <c r="A83" s="45" t="s">
        <v>189</v>
      </c>
      <c r="B83" s="45" t="s">
        <v>551</v>
      </c>
      <c r="C83" s="45" t="s">
        <v>159</v>
      </c>
      <c r="D83" s="61">
        <v>0.2</v>
      </c>
      <c r="E83" s="61">
        <v>1.0</v>
      </c>
      <c r="F83" s="61">
        <v>2.0</v>
      </c>
      <c r="G83" s="61">
        <v>3.0</v>
      </c>
      <c r="I83" s="45" t="s">
        <v>246</v>
      </c>
      <c r="J83" s="45" t="s">
        <v>176</v>
      </c>
      <c r="K83" s="61">
        <v>0.5</v>
      </c>
      <c r="L83" s="45" t="s">
        <v>521</v>
      </c>
    </row>
    <row r="84">
      <c r="A84" s="45" t="s">
        <v>189</v>
      </c>
      <c r="B84" s="45" t="s">
        <v>552</v>
      </c>
      <c r="C84" s="45" t="s">
        <v>91</v>
      </c>
      <c r="D84" s="61">
        <v>0.2</v>
      </c>
      <c r="E84" s="61">
        <v>1.0</v>
      </c>
      <c r="F84" s="61">
        <v>1.0</v>
      </c>
      <c r="G84" s="61">
        <v>4.0</v>
      </c>
      <c r="I84" s="45" t="s">
        <v>246</v>
      </c>
      <c r="J84" s="45" t="s">
        <v>187</v>
      </c>
      <c r="K84" s="61">
        <v>1.0</v>
      </c>
      <c r="L84" s="45" t="s">
        <v>521</v>
      </c>
    </row>
    <row r="85">
      <c r="A85" s="45" t="s">
        <v>189</v>
      </c>
      <c r="B85" s="45" t="s">
        <v>553</v>
      </c>
      <c r="C85" s="45" t="s">
        <v>207</v>
      </c>
      <c r="D85" s="61">
        <v>0.5</v>
      </c>
      <c r="E85" s="61">
        <v>1.0</v>
      </c>
      <c r="F85" s="61">
        <v>2.0</v>
      </c>
      <c r="G85" s="61">
        <v>5.0</v>
      </c>
      <c r="I85" s="45" t="s">
        <v>246</v>
      </c>
      <c r="J85" s="45" t="s">
        <v>224</v>
      </c>
      <c r="K85" s="61">
        <v>1.0</v>
      </c>
      <c r="L85" s="45" t="s">
        <v>521</v>
      </c>
    </row>
    <row r="86">
      <c r="A86" s="45" t="s">
        <v>189</v>
      </c>
      <c r="B86" s="45" t="s">
        <v>537</v>
      </c>
      <c r="C86" s="45" t="s">
        <v>142</v>
      </c>
      <c r="D86" s="45">
        <v>2.0</v>
      </c>
      <c r="E86" s="61">
        <v>1.0</v>
      </c>
      <c r="F86" s="61">
        <v>2.0</v>
      </c>
      <c r="G86" s="61">
        <v>6.0</v>
      </c>
      <c r="I86" s="45" t="s">
        <v>246</v>
      </c>
      <c r="J86" s="45" t="s">
        <v>59</v>
      </c>
      <c r="K86" s="61">
        <v>1.0</v>
      </c>
      <c r="L86" s="45" t="s">
        <v>521</v>
      </c>
    </row>
    <row r="87">
      <c r="A87" s="45" t="s">
        <v>189</v>
      </c>
      <c r="B87" s="45" t="s">
        <v>538</v>
      </c>
      <c r="C87" s="45" t="s">
        <v>152</v>
      </c>
      <c r="D87" s="61">
        <v>0.8</v>
      </c>
      <c r="E87" s="61">
        <v>1.0</v>
      </c>
      <c r="F87" s="61">
        <v>1.0</v>
      </c>
      <c r="G87" s="61">
        <v>7.0</v>
      </c>
      <c r="I87" s="45" t="s">
        <v>246</v>
      </c>
      <c r="J87" s="45" t="s">
        <v>158</v>
      </c>
      <c r="K87" s="61">
        <v>2.0</v>
      </c>
      <c r="L87" s="45" t="s">
        <v>534</v>
      </c>
    </row>
    <row r="88">
      <c r="A88" s="45" t="s">
        <v>189</v>
      </c>
      <c r="B88" s="45" t="s">
        <v>525</v>
      </c>
      <c r="C88" s="45" t="s">
        <v>80</v>
      </c>
      <c r="D88" s="61">
        <v>0.2</v>
      </c>
      <c r="E88" s="61">
        <v>1.0</v>
      </c>
      <c r="F88" s="61">
        <v>1.0</v>
      </c>
      <c r="G88" s="61">
        <v>8.0</v>
      </c>
      <c r="I88" s="45" t="s">
        <v>252</v>
      </c>
      <c r="J88" s="45" t="s">
        <v>176</v>
      </c>
      <c r="K88" s="61">
        <v>0.5</v>
      </c>
      <c r="L88" s="45" t="s">
        <v>521</v>
      </c>
    </row>
    <row r="89">
      <c r="A89" s="45" t="s">
        <v>189</v>
      </c>
      <c r="B89" s="45" t="s">
        <v>527</v>
      </c>
      <c r="C89" s="45" t="s">
        <v>80</v>
      </c>
      <c r="D89" s="61">
        <v>0.2</v>
      </c>
      <c r="E89" s="61">
        <v>1.0</v>
      </c>
      <c r="F89" s="61">
        <v>1.0</v>
      </c>
      <c r="G89" s="61">
        <v>9.0</v>
      </c>
      <c r="I89" s="45" t="s">
        <v>252</v>
      </c>
      <c r="J89" s="45" t="s">
        <v>195</v>
      </c>
      <c r="K89" s="61">
        <v>1.0</v>
      </c>
      <c r="L89" s="45" t="s">
        <v>521</v>
      </c>
    </row>
    <row r="90">
      <c r="A90" s="45" t="s">
        <v>189</v>
      </c>
      <c r="B90" s="45" t="s">
        <v>531</v>
      </c>
      <c r="C90" s="45" t="s">
        <v>28</v>
      </c>
      <c r="D90" s="61">
        <v>0.2</v>
      </c>
      <c r="E90" s="61">
        <v>1.0</v>
      </c>
      <c r="F90" s="61">
        <v>1.0</v>
      </c>
      <c r="G90" s="61">
        <v>10.0</v>
      </c>
      <c r="I90" s="45" t="s">
        <v>252</v>
      </c>
      <c r="J90" s="45" t="s">
        <v>255</v>
      </c>
      <c r="K90" s="61">
        <v>2.0</v>
      </c>
      <c r="L90" s="45" t="s">
        <v>521</v>
      </c>
    </row>
    <row r="91">
      <c r="A91" s="45" t="s">
        <v>196</v>
      </c>
      <c r="B91" s="45" t="s">
        <v>520</v>
      </c>
      <c r="C91" s="45" t="s">
        <v>53</v>
      </c>
      <c r="D91" s="61">
        <v>0.2</v>
      </c>
      <c r="E91" s="61">
        <v>1.0</v>
      </c>
      <c r="F91" s="61">
        <v>3.0</v>
      </c>
      <c r="G91" s="61">
        <v>1.0</v>
      </c>
      <c r="I91" s="45" t="s">
        <v>252</v>
      </c>
      <c r="J91" s="45" t="s">
        <v>291</v>
      </c>
      <c r="K91" s="61">
        <v>1.0</v>
      </c>
      <c r="L91" s="45" t="s">
        <v>521</v>
      </c>
    </row>
    <row r="92">
      <c r="A92" s="45" t="s">
        <v>196</v>
      </c>
      <c r="B92" s="45" t="s">
        <v>167</v>
      </c>
      <c r="C92" s="45" t="s">
        <v>159</v>
      </c>
      <c r="D92" s="61">
        <v>0.2</v>
      </c>
      <c r="E92" s="61">
        <v>1.0</v>
      </c>
      <c r="F92" s="61">
        <v>2.0</v>
      </c>
      <c r="G92" s="61">
        <v>2.0</v>
      </c>
      <c r="I92" s="45" t="s">
        <v>252</v>
      </c>
      <c r="J92" s="45" t="s">
        <v>160</v>
      </c>
      <c r="K92" s="61">
        <v>0.5</v>
      </c>
      <c r="L92" s="45" t="s">
        <v>534</v>
      </c>
    </row>
    <row r="93">
      <c r="A93" s="45" t="s">
        <v>196</v>
      </c>
      <c r="B93" s="45" t="s">
        <v>549</v>
      </c>
      <c r="C93" s="45" t="s">
        <v>207</v>
      </c>
      <c r="D93" s="61">
        <v>0.25</v>
      </c>
      <c r="E93" s="61">
        <v>1.0</v>
      </c>
      <c r="F93" s="61">
        <v>2.0</v>
      </c>
      <c r="G93" s="61">
        <v>3.0</v>
      </c>
      <c r="I93" s="45" t="s">
        <v>252</v>
      </c>
      <c r="J93" s="45" t="s">
        <v>158</v>
      </c>
      <c r="K93" s="61">
        <v>2.0</v>
      </c>
      <c r="L93" s="45" t="s">
        <v>534</v>
      </c>
    </row>
    <row r="94">
      <c r="A94" s="45" t="s">
        <v>196</v>
      </c>
      <c r="B94" s="45" t="s">
        <v>552</v>
      </c>
      <c r="C94" s="45" t="s">
        <v>91</v>
      </c>
      <c r="D94" s="61">
        <v>0.2</v>
      </c>
      <c r="E94" s="61">
        <v>1.0</v>
      </c>
      <c r="F94" s="61">
        <v>1.0</v>
      </c>
      <c r="G94" s="61">
        <v>4.0</v>
      </c>
      <c r="I94" s="45" t="s">
        <v>259</v>
      </c>
      <c r="J94" s="45" t="s">
        <v>176</v>
      </c>
      <c r="K94" s="61">
        <v>1.0</v>
      </c>
      <c r="L94" s="45" t="s">
        <v>521</v>
      </c>
    </row>
    <row r="95">
      <c r="A95" s="45" t="s">
        <v>196</v>
      </c>
      <c r="B95" s="45" t="s">
        <v>553</v>
      </c>
      <c r="C95" s="45" t="s">
        <v>207</v>
      </c>
      <c r="D95" s="61">
        <v>0.5</v>
      </c>
      <c r="E95" s="61">
        <v>1.0</v>
      </c>
      <c r="F95" s="61">
        <v>2.0</v>
      </c>
      <c r="G95" s="61">
        <v>5.0</v>
      </c>
      <c r="I95" s="45" t="s">
        <v>259</v>
      </c>
      <c r="J95" s="45" t="s">
        <v>195</v>
      </c>
      <c r="K95" s="61">
        <v>1.0</v>
      </c>
      <c r="L95" s="45" t="s">
        <v>521</v>
      </c>
    </row>
    <row r="96">
      <c r="A96" s="45" t="s">
        <v>196</v>
      </c>
      <c r="B96" s="45" t="s">
        <v>537</v>
      </c>
      <c r="C96" s="45" t="s">
        <v>142</v>
      </c>
      <c r="D96" s="61">
        <v>2.0</v>
      </c>
      <c r="E96" s="61">
        <v>1.0</v>
      </c>
      <c r="F96" s="61">
        <v>2.0</v>
      </c>
      <c r="G96" s="61">
        <v>6.0</v>
      </c>
      <c r="I96" s="45" t="s">
        <v>259</v>
      </c>
      <c r="J96" s="45" t="s">
        <v>156</v>
      </c>
      <c r="K96" s="61">
        <v>1.0</v>
      </c>
      <c r="L96" s="45" t="s">
        <v>521</v>
      </c>
    </row>
    <row r="97">
      <c r="A97" s="45" t="s">
        <v>196</v>
      </c>
      <c r="B97" s="45" t="s">
        <v>538</v>
      </c>
      <c r="C97" s="45" t="s">
        <v>152</v>
      </c>
      <c r="D97" s="61">
        <v>0.8</v>
      </c>
      <c r="E97" s="61">
        <v>1.0</v>
      </c>
      <c r="F97" s="61">
        <v>1.0</v>
      </c>
      <c r="G97" s="61">
        <v>7.0</v>
      </c>
      <c r="I97" s="45" t="s">
        <v>259</v>
      </c>
      <c r="J97" s="45" t="s">
        <v>204</v>
      </c>
      <c r="K97" s="61">
        <v>0.6</v>
      </c>
      <c r="L97" s="45" t="s">
        <v>521</v>
      </c>
    </row>
    <row r="98">
      <c r="A98" s="45" t="s">
        <v>196</v>
      </c>
      <c r="B98" s="45" t="s">
        <v>539</v>
      </c>
      <c r="C98" s="45" t="s">
        <v>152</v>
      </c>
      <c r="D98" s="61">
        <v>0.2</v>
      </c>
      <c r="E98" s="61">
        <v>1.0</v>
      </c>
      <c r="F98" s="61">
        <v>1.0</v>
      </c>
      <c r="G98" s="61">
        <v>8.0</v>
      </c>
      <c r="I98" s="45" t="s">
        <v>259</v>
      </c>
      <c r="J98" s="45" t="s">
        <v>264</v>
      </c>
      <c r="K98" s="61">
        <v>1.0</v>
      </c>
      <c r="L98" s="45" t="s">
        <v>521</v>
      </c>
    </row>
    <row r="99">
      <c r="A99" s="45" t="s">
        <v>196</v>
      </c>
      <c r="B99" s="45" t="s">
        <v>525</v>
      </c>
      <c r="C99" s="45" t="s">
        <v>80</v>
      </c>
      <c r="D99" s="61">
        <v>0.2</v>
      </c>
      <c r="E99" s="61">
        <v>1.0</v>
      </c>
      <c r="F99" s="61">
        <v>1.0</v>
      </c>
      <c r="G99" s="61">
        <v>9.0</v>
      </c>
      <c r="I99" s="45" t="s">
        <v>259</v>
      </c>
      <c r="J99" s="45" t="s">
        <v>58</v>
      </c>
      <c r="K99" s="61">
        <v>2.0</v>
      </c>
      <c r="L99" s="45" t="s">
        <v>521</v>
      </c>
    </row>
    <row r="100">
      <c r="A100" s="45" t="s">
        <v>196</v>
      </c>
      <c r="B100" s="45" t="s">
        <v>528</v>
      </c>
      <c r="C100" s="45" t="s">
        <v>28</v>
      </c>
      <c r="D100" s="61">
        <v>0.2</v>
      </c>
      <c r="E100" s="61">
        <v>1.0</v>
      </c>
      <c r="F100" s="61">
        <v>1.0</v>
      </c>
      <c r="G100" s="61">
        <v>10.0</v>
      </c>
      <c r="I100" s="45" t="s">
        <v>259</v>
      </c>
      <c r="J100" s="45" t="s">
        <v>160</v>
      </c>
      <c r="K100" s="61">
        <v>0.5</v>
      </c>
      <c r="L100" s="45" t="s">
        <v>534</v>
      </c>
    </row>
    <row r="101">
      <c r="A101" s="45" t="s">
        <v>196</v>
      </c>
      <c r="B101" s="45" t="s">
        <v>558</v>
      </c>
      <c r="C101" s="45" t="s">
        <v>80</v>
      </c>
      <c r="D101" s="61">
        <v>0.2</v>
      </c>
      <c r="E101" s="61">
        <v>1.0</v>
      </c>
      <c r="F101" s="61">
        <v>1.0</v>
      </c>
      <c r="G101" s="61">
        <v>11.0</v>
      </c>
      <c r="I101" s="45" t="s">
        <v>259</v>
      </c>
      <c r="J101" s="45" t="s">
        <v>158</v>
      </c>
      <c r="K101" s="61">
        <v>4.0</v>
      </c>
      <c r="L101" s="45" t="s">
        <v>534</v>
      </c>
    </row>
    <row r="102">
      <c r="A102" s="45" t="s">
        <v>208</v>
      </c>
      <c r="B102" s="45" t="s">
        <v>520</v>
      </c>
      <c r="C102" s="45" t="s">
        <v>53</v>
      </c>
      <c r="D102" s="61">
        <v>0.2</v>
      </c>
      <c r="E102" s="61">
        <v>1.0</v>
      </c>
      <c r="F102" s="61">
        <v>3.0</v>
      </c>
      <c r="G102" s="61">
        <v>1.0</v>
      </c>
      <c r="I102" s="45" t="s">
        <v>252</v>
      </c>
      <c r="J102" s="45" t="s">
        <v>141</v>
      </c>
      <c r="K102" s="61">
        <v>1.0</v>
      </c>
      <c r="L102" s="45" t="s">
        <v>521</v>
      </c>
    </row>
    <row r="103">
      <c r="A103" s="45" t="s">
        <v>208</v>
      </c>
      <c r="B103" s="45" t="s">
        <v>54</v>
      </c>
      <c r="C103" s="45" t="s">
        <v>237</v>
      </c>
      <c r="D103" s="45">
        <v>0.2</v>
      </c>
      <c r="E103" s="61">
        <v>1.0</v>
      </c>
      <c r="F103" s="61">
        <v>2.0</v>
      </c>
      <c r="G103" s="61">
        <v>2.0</v>
      </c>
      <c r="I103" s="45" t="s">
        <v>266</v>
      </c>
      <c r="J103" s="45" t="s">
        <v>176</v>
      </c>
      <c r="K103" s="61">
        <v>0.5</v>
      </c>
      <c r="L103" s="45" t="s">
        <v>521</v>
      </c>
    </row>
    <row r="104">
      <c r="A104" s="45" t="s">
        <v>208</v>
      </c>
      <c r="B104" s="45" t="s">
        <v>547</v>
      </c>
      <c r="C104" s="45" t="s">
        <v>207</v>
      </c>
      <c r="D104" s="61">
        <v>0.25</v>
      </c>
      <c r="E104" s="61">
        <v>1.0</v>
      </c>
      <c r="F104" s="61">
        <v>2.0</v>
      </c>
      <c r="G104" s="61">
        <v>3.0</v>
      </c>
      <c r="I104" s="45" t="s">
        <v>266</v>
      </c>
      <c r="J104" s="45" t="s">
        <v>141</v>
      </c>
      <c r="K104" s="61">
        <v>1.0</v>
      </c>
      <c r="L104" s="45" t="s">
        <v>521</v>
      </c>
    </row>
    <row r="105">
      <c r="A105" s="45" t="s">
        <v>208</v>
      </c>
      <c r="B105" s="45" t="s">
        <v>551</v>
      </c>
      <c r="C105" s="45" t="s">
        <v>159</v>
      </c>
      <c r="D105" s="61">
        <v>0.2</v>
      </c>
      <c r="E105" s="61">
        <v>1.0</v>
      </c>
      <c r="F105" s="61">
        <v>2.0</v>
      </c>
      <c r="G105" s="61">
        <v>4.0</v>
      </c>
      <c r="I105" s="45" t="s">
        <v>266</v>
      </c>
      <c r="J105" s="45" t="s">
        <v>135</v>
      </c>
      <c r="K105" s="61">
        <v>1.0</v>
      </c>
      <c r="L105" s="45" t="s">
        <v>521</v>
      </c>
    </row>
    <row r="106">
      <c r="A106" s="45" t="s">
        <v>208</v>
      </c>
      <c r="B106" s="45" t="s">
        <v>552</v>
      </c>
      <c r="C106" s="45" t="s">
        <v>91</v>
      </c>
      <c r="D106" s="61">
        <v>0.2</v>
      </c>
      <c r="E106" s="61">
        <v>1.0</v>
      </c>
      <c r="F106" s="61">
        <v>1.0</v>
      </c>
      <c r="G106" s="61">
        <v>5.0</v>
      </c>
      <c r="I106" s="45" t="s">
        <v>266</v>
      </c>
      <c r="J106" s="45" t="s">
        <v>255</v>
      </c>
      <c r="K106" s="61">
        <v>1.0</v>
      </c>
      <c r="L106" s="45" t="s">
        <v>521</v>
      </c>
    </row>
    <row r="107">
      <c r="A107" s="45" t="s">
        <v>208</v>
      </c>
      <c r="B107" s="45" t="s">
        <v>553</v>
      </c>
      <c r="C107" s="45" t="s">
        <v>207</v>
      </c>
      <c r="D107" s="61">
        <v>0.5</v>
      </c>
      <c r="E107" s="61">
        <v>1.0</v>
      </c>
      <c r="F107" s="61">
        <v>2.0</v>
      </c>
      <c r="G107" s="61">
        <v>6.0</v>
      </c>
      <c r="I107" s="45" t="s">
        <v>266</v>
      </c>
      <c r="J107" s="45" t="s">
        <v>58</v>
      </c>
      <c r="K107" s="61">
        <v>1.0</v>
      </c>
      <c r="L107" s="45" t="s">
        <v>521</v>
      </c>
    </row>
    <row r="108">
      <c r="A108" s="45" t="s">
        <v>208</v>
      </c>
      <c r="B108" s="45" t="s">
        <v>537</v>
      </c>
      <c r="C108" s="45" t="s">
        <v>142</v>
      </c>
      <c r="D108" s="61">
        <v>2.0</v>
      </c>
      <c r="E108" s="61">
        <v>1.0</v>
      </c>
      <c r="F108" s="61">
        <v>2.0</v>
      </c>
      <c r="G108" s="61">
        <v>7.0</v>
      </c>
      <c r="I108" s="45" t="s">
        <v>266</v>
      </c>
      <c r="J108" s="45" t="s">
        <v>160</v>
      </c>
      <c r="K108" s="61">
        <v>0.5</v>
      </c>
      <c r="L108" s="45" t="s">
        <v>534</v>
      </c>
    </row>
    <row r="109">
      <c r="A109" s="45" t="s">
        <v>208</v>
      </c>
      <c r="B109" s="45" t="s">
        <v>538</v>
      </c>
      <c r="C109" s="45" t="s">
        <v>152</v>
      </c>
      <c r="D109" s="61">
        <v>0.8</v>
      </c>
      <c r="E109" s="61">
        <v>1.0</v>
      </c>
      <c r="F109" s="61">
        <v>1.0</v>
      </c>
      <c r="G109" s="61">
        <v>8.0</v>
      </c>
      <c r="I109" s="45" t="s">
        <v>266</v>
      </c>
      <c r="J109" s="45" t="s">
        <v>158</v>
      </c>
      <c r="K109" s="61">
        <v>1.0</v>
      </c>
      <c r="L109" s="45" t="s">
        <v>534</v>
      </c>
    </row>
    <row r="110">
      <c r="A110" s="45" t="s">
        <v>208</v>
      </c>
      <c r="B110" s="45" t="s">
        <v>539</v>
      </c>
      <c r="C110" s="45" t="s">
        <v>152</v>
      </c>
      <c r="D110" s="61">
        <v>0.2</v>
      </c>
      <c r="E110" s="61">
        <v>1.0</v>
      </c>
      <c r="F110" s="61">
        <v>1.0</v>
      </c>
      <c r="G110" s="61">
        <v>9.0</v>
      </c>
      <c r="I110" s="45" t="s">
        <v>271</v>
      </c>
      <c r="J110" s="45" t="s">
        <v>176</v>
      </c>
      <c r="K110" s="61">
        <v>0.5</v>
      </c>
      <c r="L110" s="45" t="s">
        <v>521</v>
      </c>
    </row>
    <row r="111">
      <c r="A111" s="45" t="s">
        <v>208</v>
      </c>
      <c r="B111" s="45" t="s">
        <v>525</v>
      </c>
      <c r="C111" s="45" t="s">
        <v>80</v>
      </c>
      <c r="D111" s="61">
        <v>0.2</v>
      </c>
      <c r="E111" s="61">
        <v>1.0</v>
      </c>
      <c r="F111" s="61">
        <v>1.0</v>
      </c>
      <c r="G111" s="61">
        <v>10.0</v>
      </c>
      <c r="I111" s="45" t="s">
        <v>271</v>
      </c>
      <c r="J111" s="45" t="s">
        <v>141</v>
      </c>
      <c r="K111" s="61">
        <v>1.0</v>
      </c>
      <c r="L111" s="45" t="s">
        <v>521</v>
      </c>
    </row>
    <row r="112">
      <c r="A112" s="45" t="s">
        <v>208</v>
      </c>
      <c r="B112" s="45" t="s">
        <v>527</v>
      </c>
      <c r="C112" s="45" t="s">
        <v>80</v>
      </c>
      <c r="D112" s="61">
        <v>0.2</v>
      </c>
      <c r="E112" s="61">
        <v>1.0</v>
      </c>
      <c r="F112" s="61">
        <v>1.0</v>
      </c>
      <c r="G112" s="61">
        <v>11.0</v>
      </c>
      <c r="I112" s="45" t="s">
        <v>271</v>
      </c>
      <c r="J112" s="45" t="s">
        <v>135</v>
      </c>
      <c r="K112" s="61">
        <v>1.0</v>
      </c>
      <c r="L112" s="45" t="s">
        <v>521</v>
      </c>
    </row>
    <row r="113">
      <c r="A113" s="45" t="s">
        <v>208</v>
      </c>
      <c r="B113" s="45" t="s">
        <v>528</v>
      </c>
      <c r="C113" s="45" t="s">
        <v>28</v>
      </c>
      <c r="D113" s="61">
        <v>0.2</v>
      </c>
      <c r="E113" s="61">
        <v>1.0</v>
      </c>
      <c r="F113" s="61">
        <v>1.0</v>
      </c>
      <c r="G113" s="61">
        <v>12.0</v>
      </c>
      <c r="I113" s="45" t="s">
        <v>271</v>
      </c>
      <c r="J113" s="45" t="s">
        <v>291</v>
      </c>
      <c r="K113" s="61">
        <v>1.0</v>
      </c>
      <c r="L113" s="45" t="s">
        <v>521</v>
      </c>
    </row>
    <row r="114">
      <c r="A114" s="45" t="s">
        <v>208</v>
      </c>
      <c r="B114" s="45" t="s">
        <v>531</v>
      </c>
      <c r="C114" s="45" t="s">
        <v>28</v>
      </c>
      <c r="D114" s="61">
        <v>0.2</v>
      </c>
      <c r="E114" s="61">
        <v>1.0</v>
      </c>
      <c r="F114" s="61">
        <v>1.0</v>
      </c>
      <c r="G114" s="61">
        <v>13.0</v>
      </c>
      <c r="I114" s="45" t="s">
        <v>271</v>
      </c>
      <c r="J114" s="45" t="s">
        <v>286</v>
      </c>
      <c r="K114" s="61">
        <v>2.0</v>
      </c>
      <c r="L114" s="45" t="s">
        <v>521</v>
      </c>
    </row>
    <row r="115">
      <c r="A115" s="45" t="s">
        <v>208</v>
      </c>
      <c r="B115" s="45" t="s">
        <v>558</v>
      </c>
      <c r="C115" s="45" t="s">
        <v>80</v>
      </c>
      <c r="D115" s="61">
        <v>0.2</v>
      </c>
      <c r="E115" s="61">
        <v>1.0</v>
      </c>
      <c r="F115" s="61">
        <v>1.0</v>
      </c>
      <c r="G115" s="61">
        <v>14.0</v>
      </c>
      <c r="I115" s="45" t="s">
        <v>271</v>
      </c>
      <c r="J115" s="45" t="s">
        <v>160</v>
      </c>
      <c r="K115" s="61">
        <v>0.5</v>
      </c>
      <c r="L115" s="45" t="s">
        <v>534</v>
      </c>
    </row>
    <row r="116">
      <c r="A116" s="45" t="s">
        <v>221</v>
      </c>
      <c r="B116" s="45" t="s">
        <v>520</v>
      </c>
      <c r="C116" s="45" t="s">
        <v>53</v>
      </c>
      <c r="D116" s="61">
        <v>0.2</v>
      </c>
      <c r="E116" s="61">
        <v>1.0</v>
      </c>
      <c r="F116" s="61">
        <v>3.0</v>
      </c>
      <c r="G116" s="61">
        <v>1.0</v>
      </c>
      <c r="I116" s="45" t="s">
        <v>271</v>
      </c>
      <c r="J116" s="45" t="s">
        <v>158</v>
      </c>
      <c r="K116" s="61">
        <v>1.0</v>
      </c>
      <c r="L116" s="45" t="s">
        <v>534</v>
      </c>
    </row>
    <row r="117">
      <c r="A117" s="45" t="s">
        <v>221</v>
      </c>
      <c r="B117" s="45" t="s">
        <v>525</v>
      </c>
      <c r="C117" s="45" t="s">
        <v>80</v>
      </c>
      <c r="D117" s="61">
        <v>0.2</v>
      </c>
      <c r="E117" s="61">
        <v>1.0</v>
      </c>
      <c r="F117" s="61">
        <v>1.0</v>
      </c>
      <c r="G117" s="61">
        <v>2.0</v>
      </c>
      <c r="I117" s="45" t="s">
        <v>277</v>
      </c>
      <c r="J117" s="45" t="s">
        <v>176</v>
      </c>
      <c r="K117" s="61">
        <v>0.5</v>
      </c>
      <c r="L117" s="45" t="s">
        <v>521</v>
      </c>
    </row>
    <row r="118">
      <c r="A118" s="45" t="s">
        <v>221</v>
      </c>
      <c r="B118" s="45" t="s">
        <v>565</v>
      </c>
      <c r="C118" s="45" t="s">
        <v>80</v>
      </c>
      <c r="D118" s="61">
        <v>0.2</v>
      </c>
      <c r="E118" s="61">
        <v>1.0</v>
      </c>
      <c r="F118" s="61">
        <v>1.0</v>
      </c>
      <c r="G118" s="61">
        <v>3.0</v>
      </c>
      <c r="I118" s="45" t="s">
        <v>277</v>
      </c>
      <c r="J118" s="45" t="s">
        <v>195</v>
      </c>
      <c r="K118" s="61">
        <v>1.0</v>
      </c>
      <c r="L118" s="45" t="s">
        <v>521</v>
      </c>
    </row>
    <row r="119">
      <c r="A119" s="45" t="s">
        <v>221</v>
      </c>
      <c r="B119" s="45" t="s">
        <v>527</v>
      </c>
      <c r="C119" s="45" t="s">
        <v>80</v>
      </c>
      <c r="D119" s="61">
        <v>0.2</v>
      </c>
      <c r="E119" s="61">
        <v>1.0</v>
      </c>
      <c r="F119" s="61">
        <v>1.0</v>
      </c>
      <c r="G119" s="61">
        <v>4.0</v>
      </c>
      <c r="I119" s="45" t="s">
        <v>277</v>
      </c>
      <c r="J119" s="45" t="s">
        <v>156</v>
      </c>
      <c r="K119" s="45">
        <v>0.5</v>
      </c>
      <c r="L119" s="45" t="s">
        <v>521</v>
      </c>
    </row>
    <row r="120">
      <c r="A120" s="45" t="s">
        <v>231</v>
      </c>
      <c r="B120" s="45" t="s">
        <v>520</v>
      </c>
      <c r="C120" s="45" t="s">
        <v>53</v>
      </c>
      <c r="D120" s="61">
        <v>0.2</v>
      </c>
      <c r="E120" s="61">
        <v>1.0</v>
      </c>
      <c r="F120" s="61">
        <v>3.0</v>
      </c>
      <c r="G120" s="61">
        <v>1.0</v>
      </c>
      <c r="I120" s="45" t="s">
        <v>277</v>
      </c>
      <c r="J120" s="45" t="s">
        <v>141</v>
      </c>
      <c r="K120" s="45">
        <v>1.0</v>
      </c>
      <c r="L120" s="45" t="s">
        <v>521</v>
      </c>
    </row>
    <row r="121">
      <c r="A121" s="45" t="s">
        <v>231</v>
      </c>
      <c r="B121" s="45" t="s">
        <v>565</v>
      </c>
      <c r="C121" s="45" t="s">
        <v>80</v>
      </c>
      <c r="D121" s="61">
        <v>0.2</v>
      </c>
      <c r="E121" s="61">
        <v>1.0</v>
      </c>
      <c r="F121" s="61">
        <v>1.0</v>
      </c>
      <c r="G121" s="61">
        <v>2.0</v>
      </c>
      <c r="I121" s="45" t="s">
        <v>277</v>
      </c>
      <c r="J121" s="45" t="s">
        <v>224</v>
      </c>
      <c r="K121" s="61">
        <v>1.0</v>
      </c>
      <c r="L121" s="45" t="s">
        <v>521</v>
      </c>
    </row>
    <row r="122">
      <c r="A122" s="45" t="s">
        <v>231</v>
      </c>
      <c r="B122" s="45" t="s">
        <v>527</v>
      </c>
      <c r="C122" s="45" t="s">
        <v>80</v>
      </c>
      <c r="D122" s="61">
        <v>0.2</v>
      </c>
      <c r="E122" s="61">
        <v>1.0</v>
      </c>
      <c r="F122" s="61">
        <v>1.0</v>
      </c>
      <c r="G122" s="61">
        <v>3.0</v>
      </c>
      <c r="I122" s="45" t="s">
        <v>277</v>
      </c>
      <c r="J122" s="45" t="s">
        <v>160</v>
      </c>
      <c r="K122" s="61">
        <v>0.5</v>
      </c>
      <c r="L122" s="45" t="s">
        <v>534</v>
      </c>
    </row>
    <row r="123">
      <c r="A123" s="45" t="s">
        <v>236</v>
      </c>
      <c r="B123" s="45" t="s">
        <v>520</v>
      </c>
      <c r="C123" s="45" t="s">
        <v>53</v>
      </c>
      <c r="D123" s="61">
        <v>0.2</v>
      </c>
      <c r="E123" s="61">
        <v>1.0</v>
      </c>
      <c r="F123" s="61">
        <v>3.0</v>
      </c>
      <c r="G123" s="61">
        <v>1.0</v>
      </c>
      <c r="I123" s="45" t="s">
        <v>277</v>
      </c>
      <c r="J123" s="45" t="s">
        <v>158</v>
      </c>
      <c r="K123" s="61">
        <v>3.0</v>
      </c>
      <c r="L123" s="45" t="s">
        <v>534</v>
      </c>
    </row>
    <row r="124">
      <c r="A124" s="45" t="s">
        <v>236</v>
      </c>
      <c r="B124" s="45" t="s">
        <v>238</v>
      </c>
      <c r="C124" s="45" t="s">
        <v>237</v>
      </c>
      <c r="D124" s="45">
        <v>0.2</v>
      </c>
      <c r="E124" s="61">
        <v>1.0</v>
      </c>
      <c r="F124" s="61">
        <v>2.0</v>
      </c>
      <c r="G124" s="61">
        <v>2.0</v>
      </c>
      <c r="I124" s="45" t="s">
        <v>281</v>
      </c>
      <c r="J124" s="45" t="s">
        <v>176</v>
      </c>
      <c r="K124" s="61">
        <v>1.0</v>
      </c>
      <c r="L124" s="45" t="s">
        <v>521</v>
      </c>
    </row>
    <row r="125">
      <c r="A125" s="45" t="s">
        <v>236</v>
      </c>
      <c r="B125" s="45" t="s">
        <v>537</v>
      </c>
      <c r="C125" s="45" t="s">
        <v>142</v>
      </c>
      <c r="D125" s="61">
        <v>1.0</v>
      </c>
      <c r="E125" s="61">
        <v>1.0</v>
      </c>
      <c r="F125" s="61">
        <v>2.0</v>
      </c>
      <c r="G125" s="61">
        <v>3.0</v>
      </c>
      <c r="I125" s="45" t="s">
        <v>281</v>
      </c>
      <c r="J125" s="45" t="s">
        <v>204</v>
      </c>
      <c r="K125" s="61">
        <v>1.0</v>
      </c>
      <c r="L125" s="45" t="s">
        <v>521</v>
      </c>
    </row>
    <row r="126">
      <c r="A126" s="45" t="s">
        <v>236</v>
      </c>
      <c r="B126" s="45" t="s">
        <v>538</v>
      </c>
      <c r="C126" s="45" t="s">
        <v>152</v>
      </c>
      <c r="D126" s="61">
        <v>0.4</v>
      </c>
      <c r="E126" s="61">
        <v>1.0</v>
      </c>
      <c r="F126" s="61">
        <v>1.0</v>
      </c>
      <c r="G126" s="61">
        <v>4.0</v>
      </c>
      <c r="I126" s="45" t="s">
        <v>281</v>
      </c>
      <c r="J126" s="45" t="s">
        <v>141</v>
      </c>
      <c r="K126" s="61">
        <v>1.0</v>
      </c>
      <c r="L126" s="45" t="s">
        <v>521</v>
      </c>
    </row>
    <row r="127">
      <c r="A127" s="45" t="s">
        <v>236</v>
      </c>
      <c r="B127" s="45" t="s">
        <v>539</v>
      </c>
      <c r="C127" s="45" t="s">
        <v>152</v>
      </c>
      <c r="D127" s="61">
        <v>0.2</v>
      </c>
      <c r="E127" s="61">
        <v>1.0</v>
      </c>
      <c r="F127" s="61">
        <v>1.0</v>
      </c>
      <c r="G127" s="61">
        <v>5.0</v>
      </c>
      <c r="I127" s="45" t="s">
        <v>281</v>
      </c>
      <c r="J127" s="45" t="s">
        <v>58</v>
      </c>
      <c r="K127" s="45">
        <v>2.2</v>
      </c>
      <c r="L127" s="45" t="s">
        <v>521</v>
      </c>
    </row>
    <row r="128">
      <c r="A128" s="45" t="s">
        <v>236</v>
      </c>
      <c r="B128" s="45" t="s">
        <v>565</v>
      </c>
      <c r="C128" s="45" t="s">
        <v>80</v>
      </c>
      <c r="D128" s="61">
        <v>0.2</v>
      </c>
      <c r="E128" s="61">
        <v>1.0</v>
      </c>
      <c r="F128" s="61">
        <v>1.0</v>
      </c>
      <c r="G128" s="61">
        <v>6.0</v>
      </c>
      <c r="I128" s="45" t="s">
        <v>281</v>
      </c>
      <c r="J128" s="45" t="s">
        <v>160</v>
      </c>
      <c r="K128" s="61">
        <v>1.0</v>
      </c>
      <c r="L128" s="45" t="s">
        <v>534</v>
      </c>
    </row>
    <row r="129">
      <c r="A129" s="45" t="s">
        <v>236</v>
      </c>
      <c r="B129" s="45" t="s">
        <v>528</v>
      </c>
      <c r="C129" s="45" t="s">
        <v>28</v>
      </c>
      <c r="D129" s="61">
        <v>0.2</v>
      </c>
      <c r="E129" s="61">
        <v>1.0</v>
      </c>
      <c r="F129" s="61">
        <v>1.0</v>
      </c>
      <c r="G129" s="61">
        <v>7.0</v>
      </c>
      <c r="I129" s="45" t="s">
        <v>281</v>
      </c>
      <c r="J129" s="45" t="s">
        <v>158</v>
      </c>
      <c r="K129" s="61">
        <v>4.0</v>
      </c>
      <c r="L129" s="45" t="s">
        <v>534</v>
      </c>
    </row>
    <row r="130">
      <c r="A130" s="45" t="s">
        <v>246</v>
      </c>
      <c r="B130" s="45" t="s">
        <v>520</v>
      </c>
      <c r="C130" s="45" t="s">
        <v>53</v>
      </c>
      <c r="D130" s="61">
        <v>0.2</v>
      </c>
      <c r="E130" s="61">
        <v>1.0</v>
      </c>
      <c r="F130" s="61">
        <v>3.0</v>
      </c>
      <c r="G130" s="61">
        <v>1.0</v>
      </c>
      <c r="I130" s="45" t="s">
        <v>285</v>
      </c>
      <c r="J130" s="45" t="s">
        <v>264</v>
      </c>
      <c r="K130" s="61">
        <v>1.0</v>
      </c>
      <c r="L130" s="45" t="s">
        <v>521</v>
      </c>
    </row>
    <row r="131">
      <c r="A131" s="45" t="s">
        <v>246</v>
      </c>
      <c r="B131" s="45" t="s">
        <v>238</v>
      </c>
      <c r="C131" s="45" t="s">
        <v>237</v>
      </c>
      <c r="D131" s="45">
        <v>0.2</v>
      </c>
      <c r="E131" s="61">
        <v>1.0</v>
      </c>
      <c r="F131" s="61">
        <v>2.0</v>
      </c>
      <c r="G131" s="61">
        <v>2.0</v>
      </c>
      <c r="I131" s="45" t="s">
        <v>285</v>
      </c>
      <c r="J131" s="45" t="s">
        <v>286</v>
      </c>
      <c r="K131" s="61">
        <v>1.0</v>
      </c>
      <c r="L131" s="45" t="s">
        <v>521</v>
      </c>
    </row>
    <row r="132">
      <c r="A132" s="45" t="s">
        <v>246</v>
      </c>
      <c r="B132" s="45" t="s">
        <v>537</v>
      </c>
      <c r="C132" s="45" t="s">
        <v>142</v>
      </c>
      <c r="D132" s="61">
        <v>1.0</v>
      </c>
      <c r="E132" s="61">
        <v>1.0</v>
      </c>
      <c r="F132" s="61">
        <v>2.0</v>
      </c>
      <c r="G132" s="61">
        <v>3.0</v>
      </c>
      <c r="I132" s="45" t="s">
        <v>285</v>
      </c>
      <c r="J132" s="45" t="s">
        <v>255</v>
      </c>
      <c r="K132" s="61">
        <v>1.0</v>
      </c>
      <c r="L132" s="45" t="s">
        <v>521</v>
      </c>
    </row>
    <row r="133">
      <c r="A133" s="45" t="s">
        <v>246</v>
      </c>
      <c r="B133" s="45" t="s">
        <v>538</v>
      </c>
      <c r="C133" s="45" t="s">
        <v>152</v>
      </c>
      <c r="D133" s="61">
        <v>0.2</v>
      </c>
      <c r="E133" s="61">
        <v>1.0</v>
      </c>
      <c r="F133" s="61">
        <v>1.0</v>
      </c>
      <c r="G133" s="61">
        <v>4.0</v>
      </c>
      <c r="I133" s="45" t="s">
        <v>285</v>
      </c>
      <c r="J133" s="45" t="s">
        <v>135</v>
      </c>
      <c r="K133" s="61">
        <v>1.0</v>
      </c>
      <c r="L133" s="45" t="s">
        <v>521</v>
      </c>
    </row>
    <row r="134">
      <c r="A134" s="45" t="s">
        <v>246</v>
      </c>
      <c r="B134" s="45" t="s">
        <v>539</v>
      </c>
      <c r="C134" s="45" t="s">
        <v>152</v>
      </c>
      <c r="D134" s="61">
        <v>0.2</v>
      </c>
      <c r="E134" s="61">
        <v>1.0</v>
      </c>
      <c r="F134" s="61">
        <v>1.0</v>
      </c>
      <c r="G134" s="61">
        <v>5.0</v>
      </c>
      <c r="I134" s="45" t="s">
        <v>285</v>
      </c>
      <c r="J134" s="45" t="s">
        <v>163</v>
      </c>
      <c r="K134" s="61">
        <v>1.0</v>
      </c>
      <c r="L134" s="45" t="s">
        <v>534</v>
      </c>
    </row>
    <row r="135">
      <c r="A135" s="45" t="s">
        <v>246</v>
      </c>
      <c r="B135" s="45" t="s">
        <v>565</v>
      </c>
      <c r="C135" s="45" t="s">
        <v>80</v>
      </c>
      <c r="D135" s="61">
        <v>0.2</v>
      </c>
      <c r="E135" s="61">
        <v>1.0</v>
      </c>
      <c r="F135" s="61">
        <v>1.0</v>
      </c>
      <c r="G135" s="61">
        <v>6.0</v>
      </c>
      <c r="I135" s="45" t="s">
        <v>289</v>
      </c>
      <c r="J135" s="45" t="s">
        <v>264</v>
      </c>
      <c r="K135" s="61">
        <v>1.0</v>
      </c>
      <c r="L135" s="45" t="s">
        <v>521</v>
      </c>
    </row>
    <row r="136">
      <c r="A136" s="45" t="s">
        <v>246</v>
      </c>
      <c r="B136" s="45" t="s">
        <v>527</v>
      </c>
      <c r="C136" s="45" t="s">
        <v>80</v>
      </c>
      <c r="D136" s="61">
        <v>0.2</v>
      </c>
      <c r="E136" s="61">
        <v>1.0</v>
      </c>
      <c r="F136" s="61">
        <v>1.0</v>
      </c>
      <c r="G136" s="61">
        <v>7.0</v>
      </c>
      <c r="I136" s="45" t="s">
        <v>289</v>
      </c>
      <c r="J136" s="45" t="s">
        <v>286</v>
      </c>
      <c r="K136" s="61">
        <v>2.0</v>
      </c>
      <c r="L136" s="45" t="s">
        <v>521</v>
      </c>
    </row>
    <row r="137">
      <c r="A137" s="45" t="s">
        <v>252</v>
      </c>
      <c r="B137" s="45" t="s">
        <v>520</v>
      </c>
      <c r="C137" s="45" t="s">
        <v>53</v>
      </c>
      <c r="D137" s="61">
        <v>0.2</v>
      </c>
      <c r="E137" s="61">
        <v>1.0</v>
      </c>
      <c r="F137" s="61">
        <v>3.0</v>
      </c>
      <c r="G137" s="61">
        <v>1.0</v>
      </c>
      <c r="I137" s="45" t="s">
        <v>289</v>
      </c>
      <c r="J137" s="45" t="s">
        <v>255</v>
      </c>
      <c r="K137" s="61">
        <v>2.0</v>
      </c>
      <c r="L137" s="45" t="s">
        <v>521</v>
      </c>
    </row>
    <row r="138">
      <c r="A138" s="45" t="s">
        <v>252</v>
      </c>
      <c r="B138" s="45" t="s">
        <v>253</v>
      </c>
      <c r="C138" s="45" t="s">
        <v>237</v>
      </c>
      <c r="D138" s="45">
        <v>0.2</v>
      </c>
      <c r="E138" s="61">
        <v>1.0</v>
      </c>
      <c r="F138" s="61">
        <v>2.0</v>
      </c>
      <c r="G138" s="61">
        <v>2.0</v>
      </c>
      <c r="I138" s="45" t="s">
        <v>289</v>
      </c>
      <c r="J138" s="45" t="s">
        <v>224</v>
      </c>
      <c r="K138" s="61">
        <v>1.0</v>
      </c>
      <c r="L138" s="45" t="s">
        <v>521</v>
      </c>
    </row>
    <row r="139">
      <c r="A139" s="45" t="s">
        <v>252</v>
      </c>
      <c r="B139" s="45" t="s">
        <v>577</v>
      </c>
      <c r="C139" s="45" t="s">
        <v>91</v>
      </c>
      <c r="D139" s="61">
        <v>0.2</v>
      </c>
      <c r="E139" s="61">
        <v>1.0</v>
      </c>
      <c r="F139" s="61">
        <v>1.0</v>
      </c>
      <c r="G139" s="61">
        <v>3.0</v>
      </c>
      <c r="I139" s="45" t="s">
        <v>289</v>
      </c>
      <c r="J139" s="45" t="s">
        <v>291</v>
      </c>
      <c r="K139" s="61">
        <v>1.0</v>
      </c>
      <c r="L139" s="45" t="s">
        <v>521</v>
      </c>
    </row>
    <row r="140">
      <c r="A140" s="45" t="s">
        <v>252</v>
      </c>
      <c r="B140" s="45" t="s">
        <v>578</v>
      </c>
      <c r="C140" s="45" t="s">
        <v>207</v>
      </c>
      <c r="D140" s="61">
        <v>0.25</v>
      </c>
      <c r="E140" s="61">
        <v>1.0</v>
      </c>
      <c r="F140" s="61">
        <v>2.0</v>
      </c>
      <c r="G140" s="61">
        <v>4.0</v>
      </c>
      <c r="I140" s="45" t="s">
        <v>294</v>
      </c>
      <c r="J140" s="45" t="s">
        <v>58</v>
      </c>
      <c r="K140" s="61">
        <v>0.6</v>
      </c>
      <c r="L140" s="45" t="s">
        <v>521</v>
      </c>
    </row>
    <row r="141">
      <c r="A141" s="45" t="s">
        <v>252</v>
      </c>
      <c r="B141" s="45" t="s">
        <v>537</v>
      </c>
      <c r="C141" s="45" t="s">
        <v>142</v>
      </c>
      <c r="D141" s="45">
        <v>1.0</v>
      </c>
      <c r="E141" s="61">
        <v>1.0</v>
      </c>
      <c r="F141" s="61">
        <v>2.0</v>
      </c>
      <c r="G141" s="61">
        <v>5.0</v>
      </c>
      <c r="I141" s="45" t="s">
        <v>294</v>
      </c>
      <c r="J141" s="45" t="s">
        <v>204</v>
      </c>
      <c r="K141" s="61">
        <v>0.5</v>
      </c>
      <c r="L141" s="45" t="s">
        <v>521</v>
      </c>
    </row>
    <row r="142">
      <c r="A142" s="45" t="s">
        <v>252</v>
      </c>
      <c r="B142" s="45" t="s">
        <v>538</v>
      </c>
      <c r="C142" s="45" t="s">
        <v>152</v>
      </c>
      <c r="D142" s="61">
        <v>0.4</v>
      </c>
      <c r="E142" s="61">
        <v>1.0</v>
      </c>
      <c r="F142" s="61">
        <v>1.0</v>
      </c>
      <c r="G142" s="61">
        <v>6.0</v>
      </c>
      <c r="I142" s="45" t="s">
        <v>294</v>
      </c>
      <c r="J142" s="45" t="s">
        <v>176</v>
      </c>
      <c r="K142" s="61">
        <v>0.5</v>
      </c>
      <c r="L142" s="45" t="s">
        <v>521</v>
      </c>
    </row>
    <row r="143">
      <c r="A143" s="45" t="s">
        <v>252</v>
      </c>
      <c r="B143" s="45" t="s">
        <v>579</v>
      </c>
      <c r="C143" s="45" t="s">
        <v>152</v>
      </c>
      <c r="D143" s="61">
        <v>0.2</v>
      </c>
      <c r="E143" s="61">
        <v>1.0</v>
      </c>
      <c r="F143" s="61">
        <v>1.0</v>
      </c>
      <c r="G143" s="61">
        <v>7.0</v>
      </c>
      <c r="I143" s="45" t="s">
        <v>294</v>
      </c>
      <c r="J143" s="45" t="s">
        <v>160</v>
      </c>
      <c r="K143" s="61">
        <v>0.5</v>
      </c>
      <c r="L143" s="45" t="s">
        <v>534</v>
      </c>
    </row>
    <row r="144">
      <c r="A144" s="45" t="s">
        <v>252</v>
      </c>
      <c r="B144" s="45" t="s">
        <v>580</v>
      </c>
      <c r="C144" s="45" t="s">
        <v>80</v>
      </c>
      <c r="D144" s="61">
        <v>0.1</v>
      </c>
      <c r="E144" s="61">
        <v>1.0</v>
      </c>
      <c r="F144" s="61">
        <v>1.0</v>
      </c>
      <c r="G144" s="61">
        <v>8.0</v>
      </c>
      <c r="I144" s="45" t="s">
        <v>294</v>
      </c>
      <c r="J144" s="45" t="s">
        <v>158</v>
      </c>
      <c r="K144" s="61">
        <v>2.0</v>
      </c>
      <c r="L144" s="45" t="s">
        <v>534</v>
      </c>
    </row>
    <row r="145">
      <c r="A145" s="45" t="s">
        <v>252</v>
      </c>
      <c r="B145" s="45" t="s">
        <v>581</v>
      </c>
      <c r="C145" s="45" t="s">
        <v>80</v>
      </c>
      <c r="D145" s="61">
        <v>0.2</v>
      </c>
      <c r="E145" s="61">
        <v>1.0</v>
      </c>
      <c r="F145" s="61">
        <v>1.0</v>
      </c>
      <c r="G145" s="61">
        <v>9.0</v>
      </c>
      <c r="I145" s="45" t="s">
        <v>299</v>
      </c>
      <c r="J145" s="45" t="s">
        <v>204</v>
      </c>
      <c r="K145" s="61">
        <v>0.8</v>
      </c>
      <c r="L145" s="45" t="s">
        <v>521</v>
      </c>
    </row>
    <row r="146">
      <c r="A146" s="45" t="s">
        <v>259</v>
      </c>
      <c r="B146" s="45" t="s">
        <v>520</v>
      </c>
      <c r="C146" s="45" t="s">
        <v>53</v>
      </c>
      <c r="D146" s="61">
        <v>0.2</v>
      </c>
      <c r="E146" s="61">
        <v>1.0</v>
      </c>
      <c r="F146" s="61">
        <v>3.0</v>
      </c>
      <c r="G146" s="61">
        <v>1.0</v>
      </c>
      <c r="I146" s="45" t="s">
        <v>299</v>
      </c>
      <c r="J146" s="45" t="s">
        <v>224</v>
      </c>
      <c r="K146" s="61">
        <v>1.0</v>
      </c>
      <c r="L146" s="45" t="s">
        <v>521</v>
      </c>
    </row>
    <row r="147">
      <c r="A147" s="45" t="s">
        <v>259</v>
      </c>
      <c r="B147" s="45" t="s">
        <v>260</v>
      </c>
      <c r="C147" s="45" t="s">
        <v>237</v>
      </c>
      <c r="D147" s="45">
        <v>0.2</v>
      </c>
      <c r="E147" s="61">
        <v>1.0</v>
      </c>
      <c r="F147" s="61">
        <v>2.0</v>
      </c>
      <c r="G147" s="61">
        <v>2.0</v>
      </c>
      <c r="I147" s="45" t="s">
        <v>299</v>
      </c>
      <c r="J147" s="45" t="s">
        <v>255</v>
      </c>
      <c r="K147" s="61">
        <v>2.0</v>
      </c>
      <c r="L147" s="45" t="s">
        <v>521</v>
      </c>
    </row>
    <row r="148">
      <c r="A148" s="45" t="s">
        <v>259</v>
      </c>
      <c r="B148" s="45" t="s">
        <v>582</v>
      </c>
      <c r="C148" s="45" t="s">
        <v>207</v>
      </c>
      <c r="D148" s="61">
        <v>0.5</v>
      </c>
      <c r="E148" s="61">
        <v>1.0</v>
      </c>
      <c r="F148" s="61">
        <v>2.0</v>
      </c>
      <c r="G148" s="61">
        <v>3.0</v>
      </c>
      <c r="I148" s="45" t="s">
        <v>299</v>
      </c>
      <c r="J148" s="45" t="s">
        <v>291</v>
      </c>
      <c r="K148" s="61">
        <v>1.0</v>
      </c>
      <c r="L148" s="45" t="s">
        <v>521</v>
      </c>
    </row>
    <row r="149">
      <c r="A149" s="45" t="s">
        <v>259</v>
      </c>
      <c r="B149" s="45" t="s">
        <v>583</v>
      </c>
      <c r="C149" s="45" t="s">
        <v>207</v>
      </c>
      <c r="D149" s="61">
        <v>0.2</v>
      </c>
      <c r="E149" s="61">
        <v>1.0</v>
      </c>
      <c r="F149" s="61">
        <v>2.0</v>
      </c>
      <c r="G149" s="61">
        <v>4.0</v>
      </c>
      <c r="I149" s="45" t="s">
        <v>299</v>
      </c>
      <c r="J149" s="45" t="s">
        <v>286</v>
      </c>
      <c r="K149" s="61">
        <v>1.0</v>
      </c>
      <c r="L149" s="45" t="s">
        <v>521</v>
      </c>
    </row>
    <row r="150">
      <c r="A150" s="45" t="s">
        <v>259</v>
      </c>
      <c r="B150" s="45" t="s">
        <v>584</v>
      </c>
      <c r="C150" s="45" t="s">
        <v>237</v>
      </c>
      <c r="D150" s="45">
        <f>1/3</f>
        <v>0.3333333333</v>
      </c>
      <c r="E150" s="61">
        <v>1.0</v>
      </c>
      <c r="F150" s="61">
        <v>2.0</v>
      </c>
      <c r="G150" s="61">
        <v>5.0</v>
      </c>
      <c r="I150" s="45" t="s">
        <v>299</v>
      </c>
      <c r="J150" s="45" t="s">
        <v>58</v>
      </c>
      <c r="K150" s="61">
        <v>1.2</v>
      </c>
      <c r="L150" s="45" t="s">
        <v>521</v>
      </c>
    </row>
    <row r="151">
      <c r="A151" s="45" t="s">
        <v>259</v>
      </c>
      <c r="B151" s="45" t="s">
        <v>585</v>
      </c>
      <c r="C151" s="45" t="s">
        <v>207</v>
      </c>
      <c r="D151" s="61">
        <v>0.25</v>
      </c>
      <c r="E151" s="61">
        <v>1.0</v>
      </c>
      <c r="F151" s="61">
        <v>2.0</v>
      </c>
      <c r="G151" s="61">
        <v>6.0</v>
      </c>
      <c r="I151" s="45" t="s">
        <v>299</v>
      </c>
      <c r="J151" s="45" t="s">
        <v>163</v>
      </c>
      <c r="K151" s="61">
        <v>1.0</v>
      </c>
      <c r="L151" s="45" t="s">
        <v>534</v>
      </c>
    </row>
    <row r="152">
      <c r="A152" s="45" t="s">
        <v>259</v>
      </c>
      <c r="B152" s="45" t="s">
        <v>537</v>
      </c>
      <c r="C152" s="45" t="s">
        <v>142</v>
      </c>
      <c r="D152" s="61">
        <v>0.5</v>
      </c>
      <c r="E152" s="61">
        <v>1.0</v>
      </c>
      <c r="F152" s="61">
        <v>2.0</v>
      </c>
      <c r="G152" s="61">
        <v>7.0</v>
      </c>
      <c r="I152" s="45" t="s">
        <v>299</v>
      </c>
      <c r="J152" s="45" t="s">
        <v>158</v>
      </c>
      <c r="K152" s="61">
        <v>1.0</v>
      </c>
      <c r="L152" s="45" t="s">
        <v>534</v>
      </c>
    </row>
    <row r="153">
      <c r="A153" s="45" t="s">
        <v>259</v>
      </c>
      <c r="B153" s="45" t="s">
        <v>538</v>
      </c>
      <c r="C153" s="45" t="s">
        <v>152</v>
      </c>
      <c r="D153" s="61">
        <v>0.2</v>
      </c>
      <c r="E153" s="61">
        <v>1.0</v>
      </c>
      <c r="F153" s="61">
        <v>1.0</v>
      </c>
      <c r="G153" s="61">
        <v>8.0</v>
      </c>
      <c r="I153" s="45" t="s">
        <v>305</v>
      </c>
      <c r="J153" s="45" t="s">
        <v>204</v>
      </c>
      <c r="K153" s="61">
        <v>0.6</v>
      </c>
      <c r="L153" s="45" t="s">
        <v>521</v>
      </c>
    </row>
    <row r="154">
      <c r="A154" s="45" t="s">
        <v>259</v>
      </c>
      <c r="B154" s="45" t="s">
        <v>579</v>
      </c>
      <c r="C154" s="45" t="s">
        <v>152</v>
      </c>
      <c r="D154" s="61">
        <v>0.2</v>
      </c>
      <c r="E154" s="61">
        <v>1.0</v>
      </c>
      <c r="F154" s="61">
        <v>1.0</v>
      </c>
      <c r="G154" s="61">
        <v>9.0</v>
      </c>
      <c r="I154" s="45" t="s">
        <v>305</v>
      </c>
      <c r="J154" s="45" t="s">
        <v>195</v>
      </c>
      <c r="K154" s="61">
        <v>1.0</v>
      </c>
      <c r="L154" s="45" t="s">
        <v>521</v>
      </c>
    </row>
    <row r="155">
      <c r="A155" s="45" t="s">
        <v>259</v>
      </c>
      <c r="B155" s="45" t="s">
        <v>543</v>
      </c>
      <c r="C155" s="45" t="s">
        <v>152</v>
      </c>
      <c r="D155" s="61">
        <v>0.2</v>
      </c>
      <c r="E155" s="61">
        <v>1.0</v>
      </c>
      <c r="F155" s="61">
        <v>1.0</v>
      </c>
      <c r="G155" s="61">
        <v>10.0</v>
      </c>
      <c r="I155" s="45" t="s">
        <v>305</v>
      </c>
      <c r="J155" s="45" t="s">
        <v>176</v>
      </c>
      <c r="K155" s="61">
        <v>0.5</v>
      </c>
      <c r="L155" s="45" t="s">
        <v>521</v>
      </c>
    </row>
    <row r="156">
      <c r="A156" s="45" t="s">
        <v>259</v>
      </c>
      <c r="B156" s="45" t="s">
        <v>587</v>
      </c>
      <c r="C156" s="45" t="s">
        <v>152</v>
      </c>
      <c r="D156" s="61">
        <f>2/3</f>
        <v>0.6666666667</v>
      </c>
      <c r="E156" s="61">
        <v>1.0</v>
      </c>
      <c r="F156" s="61">
        <v>1.0</v>
      </c>
      <c r="G156" s="61">
        <v>11.0</v>
      </c>
      <c r="I156" s="45" t="s">
        <v>305</v>
      </c>
      <c r="J156" s="45" t="s">
        <v>291</v>
      </c>
      <c r="K156" s="61">
        <v>1.0</v>
      </c>
      <c r="L156" s="45" t="s">
        <v>521</v>
      </c>
    </row>
    <row r="157">
      <c r="A157" s="45" t="s">
        <v>259</v>
      </c>
      <c r="B157" s="45" t="s">
        <v>590</v>
      </c>
      <c r="C157" s="45" t="s">
        <v>80</v>
      </c>
      <c r="D157" s="61">
        <v>0.2</v>
      </c>
      <c r="E157" s="61">
        <v>1.0</v>
      </c>
      <c r="F157" s="61">
        <v>1.0</v>
      </c>
      <c r="G157" s="61">
        <v>12.0</v>
      </c>
      <c r="I157" s="45" t="s">
        <v>305</v>
      </c>
      <c r="J157" s="45" t="s">
        <v>58</v>
      </c>
      <c r="K157" s="61">
        <v>1.2</v>
      </c>
      <c r="L157" s="45" t="s">
        <v>521</v>
      </c>
    </row>
    <row r="158">
      <c r="A158" s="45" t="s">
        <v>259</v>
      </c>
      <c r="B158" s="45" t="s">
        <v>531</v>
      </c>
      <c r="C158" s="45" t="s">
        <v>28</v>
      </c>
      <c r="D158" s="61">
        <v>0.1</v>
      </c>
      <c r="E158" s="61">
        <v>1.0</v>
      </c>
      <c r="F158" s="61">
        <v>1.0</v>
      </c>
      <c r="G158" s="61">
        <v>13.0</v>
      </c>
      <c r="I158" s="45" t="s">
        <v>305</v>
      </c>
      <c r="J158" s="45" t="s">
        <v>160</v>
      </c>
      <c r="K158" s="61">
        <v>1.5</v>
      </c>
      <c r="L158" s="45" t="s">
        <v>534</v>
      </c>
    </row>
    <row r="159">
      <c r="A159" s="45" t="s">
        <v>252</v>
      </c>
      <c r="B159" s="45" t="s">
        <v>591</v>
      </c>
      <c r="C159" s="45" t="s">
        <v>142</v>
      </c>
      <c r="D159" s="45">
        <v>1.0</v>
      </c>
      <c r="E159" s="61">
        <v>1.0</v>
      </c>
      <c r="F159" s="61">
        <v>2.0</v>
      </c>
      <c r="G159" s="61">
        <v>10.0</v>
      </c>
      <c r="I159" s="45" t="s">
        <v>305</v>
      </c>
      <c r="J159" s="45" t="s">
        <v>158</v>
      </c>
      <c r="K159" s="61">
        <v>3.0</v>
      </c>
      <c r="L159" s="45" t="s">
        <v>534</v>
      </c>
    </row>
    <row r="160">
      <c r="A160" s="45" t="s">
        <v>252</v>
      </c>
      <c r="B160" s="45" t="s">
        <v>593</v>
      </c>
      <c r="C160" s="45" t="s">
        <v>80</v>
      </c>
      <c r="D160" s="61">
        <v>0.2</v>
      </c>
      <c r="E160" s="61">
        <v>1.0</v>
      </c>
      <c r="F160" s="61">
        <v>1.0</v>
      </c>
      <c r="G160" s="61">
        <v>11.0</v>
      </c>
      <c r="I160" s="45" t="s">
        <v>311</v>
      </c>
      <c r="J160" s="45" t="s">
        <v>176</v>
      </c>
      <c r="K160" s="45">
        <v>1.0</v>
      </c>
      <c r="L160" s="45" t="s">
        <v>521</v>
      </c>
    </row>
    <row r="161">
      <c r="A161" s="45" t="s">
        <v>266</v>
      </c>
      <c r="B161" s="45" t="s">
        <v>520</v>
      </c>
      <c r="C161" s="45" t="s">
        <v>53</v>
      </c>
      <c r="D161" s="61">
        <v>0.2</v>
      </c>
      <c r="E161" s="61">
        <v>1.0</v>
      </c>
      <c r="F161" s="61">
        <v>3.0</v>
      </c>
      <c r="G161" s="61">
        <v>1.0</v>
      </c>
      <c r="I161" s="45" t="s">
        <v>311</v>
      </c>
      <c r="J161" s="45" t="s">
        <v>195</v>
      </c>
      <c r="K161" s="45">
        <v>1.0</v>
      </c>
      <c r="L161" s="45" t="s">
        <v>521</v>
      </c>
    </row>
    <row r="162">
      <c r="A162" s="45" t="s">
        <v>266</v>
      </c>
      <c r="B162" s="45" t="s">
        <v>577</v>
      </c>
      <c r="C162" s="45" t="s">
        <v>91</v>
      </c>
      <c r="D162" s="61">
        <v>0.2</v>
      </c>
      <c r="E162" s="61">
        <v>1.0</v>
      </c>
      <c r="F162" s="61">
        <v>1.0</v>
      </c>
      <c r="G162" s="61">
        <v>2.0</v>
      </c>
      <c r="I162" s="45" t="s">
        <v>311</v>
      </c>
      <c r="J162" s="45" t="s">
        <v>204</v>
      </c>
      <c r="K162" s="45">
        <v>0.4</v>
      </c>
      <c r="L162" s="45" t="s">
        <v>521</v>
      </c>
    </row>
    <row r="163">
      <c r="A163" s="45" t="s">
        <v>266</v>
      </c>
      <c r="B163" s="45" t="s">
        <v>578</v>
      </c>
      <c r="C163" s="45" t="s">
        <v>207</v>
      </c>
      <c r="D163" s="61">
        <v>0.25</v>
      </c>
      <c r="E163" s="61">
        <v>1.0</v>
      </c>
      <c r="F163" s="61">
        <v>2.0</v>
      </c>
      <c r="G163" s="61">
        <v>3.0</v>
      </c>
      <c r="I163" s="45" t="s">
        <v>311</v>
      </c>
      <c r="J163" s="45" t="s">
        <v>58</v>
      </c>
      <c r="K163" s="45">
        <v>0.2</v>
      </c>
      <c r="L163" s="45" t="s">
        <v>521</v>
      </c>
    </row>
    <row r="164">
      <c r="A164" s="45" t="s">
        <v>266</v>
      </c>
      <c r="B164" s="45" t="s">
        <v>537</v>
      </c>
      <c r="C164" s="45" t="s">
        <v>142</v>
      </c>
      <c r="D164" s="61">
        <v>1.0</v>
      </c>
      <c r="E164" s="61">
        <v>1.0</v>
      </c>
      <c r="F164" s="61">
        <v>2.0</v>
      </c>
      <c r="G164" s="61">
        <v>4.0</v>
      </c>
      <c r="I164" s="45" t="s">
        <v>311</v>
      </c>
      <c r="J164" s="45" t="s">
        <v>141</v>
      </c>
      <c r="K164" s="45">
        <v>1.0</v>
      </c>
      <c r="L164" s="45" t="s">
        <v>521</v>
      </c>
    </row>
    <row r="165">
      <c r="A165" s="45" t="s">
        <v>266</v>
      </c>
      <c r="B165" s="45" t="s">
        <v>538</v>
      </c>
      <c r="C165" s="45" t="s">
        <v>152</v>
      </c>
      <c r="D165" s="61">
        <v>0.4</v>
      </c>
      <c r="E165" s="61">
        <v>1.0</v>
      </c>
      <c r="F165" s="61">
        <v>1.0</v>
      </c>
      <c r="G165" s="61">
        <v>5.0</v>
      </c>
      <c r="I165" s="45" t="s">
        <v>311</v>
      </c>
      <c r="J165" s="45" t="s">
        <v>160</v>
      </c>
      <c r="K165" s="45">
        <v>0.5</v>
      </c>
      <c r="L165" s="45" t="s">
        <v>534</v>
      </c>
    </row>
    <row r="166">
      <c r="A166" s="45" t="s">
        <v>266</v>
      </c>
      <c r="B166" s="45" t="s">
        <v>591</v>
      </c>
      <c r="C166" s="45" t="s">
        <v>142</v>
      </c>
      <c r="D166" s="61">
        <v>1.0</v>
      </c>
      <c r="E166" s="61">
        <v>1.0</v>
      </c>
      <c r="F166" s="61">
        <v>2.0</v>
      </c>
      <c r="G166" s="61">
        <v>6.0</v>
      </c>
      <c r="I166" s="45" t="s">
        <v>311</v>
      </c>
      <c r="J166" s="45" t="s">
        <v>158</v>
      </c>
      <c r="K166" s="45">
        <v>3.0</v>
      </c>
      <c r="L166" s="45" t="s">
        <v>534</v>
      </c>
    </row>
    <row r="167">
      <c r="A167" s="45" t="s">
        <v>266</v>
      </c>
      <c r="B167" s="45" t="s">
        <v>593</v>
      </c>
      <c r="C167" s="45" t="s">
        <v>80</v>
      </c>
      <c r="D167" s="61">
        <v>0.2</v>
      </c>
      <c r="E167" s="61">
        <v>1.0</v>
      </c>
      <c r="F167" s="61">
        <v>1.0</v>
      </c>
      <c r="G167" s="61">
        <v>7.0</v>
      </c>
      <c r="I167" s="45" t="s">
        <v>316</v>
      </c>
      <c r="J167" s="45" t="s">
        <v>204</v>
      </c>
      <c r="K167" s="61">
        <v>0.4</v>
      </c>
      <c r="L167" s="45" t="s">
        <v>521</v>
      </c>
    </row>
    <row r="168">
      <c r="A168" s="45" t="s">
        <v>266</v>
      </c>
      <c r="B168" s="45" t="s">
        <v>525</v>
      </c>
      <c r="C168" s="45" t="s">
        <v>80</v>
      </c>
      <c r="D168" s="61">
        <v>0.2</v>
      </c>
      <c r="E168" s="61">
        <v>1.0</v>
      </c>
      <c r="F168" s="61">
        <v>1.0</v>
      </c>
      <c r="G168" s="61">
        <v>8.0</v>
      </c>
      <c r="I168" s="45" t="s">
        <v>316</v>
      </c>
      <c r="J168" s="45" t="s">
        <v>156</v>
      </c>
      <c r="K168" s="61">
        <v>1.0</v>
      </c>
      <c r="L168" s="45" t="s">
        <v>521</v>
      </c>
    </row>
    <row r="169">
      <c r="A169" s="45" t="s">
        <v>266</v>
      </c>
      <c r="B169" s="45" t="s">
        <v>580</v>
      </c>
      <c r="C169" s="45" t="s">
        <v>80</v>
      </c>
      <c r="D169" s="61">
        <v>0.2</v>
      </c>
      <c r="E169" s="61">
        <v>1.0</v>
      </c>
      <c r="F169" s="61">
        <v>1.0</v>
      </c>
      <c r="G169" s="61">
        <v>9.0</v>
      </c>
      <c r="I169" s="45" t="s">
        <v>316</v>
      </c>
      <c r="J169" s="45" t="s">
        <v>224</v>
      </c>
      <c r="K169" s="61">
        <v>1.0</v>
      </c>
      <c r="L169" s="45" t="s">
        <v>521</v>
      </c>
    </row>
    <row r="170">
      <c r="A170" s="45" t="s">
        <v>271</v>
      </c>
      <c r="B170" s="45" t="s">
        <v>520</v>
      </c>
      <c r="C170" s="45" t="s">
        <v>53</v>
      </c>
      <c r="D170" s="45">
        <v>0.2</v>
      </c>
      <c r="E170" s="45">
        <v>1.0</v>
      </c>
      <c r="F170" s="45">
        <v>3.0</v>
      </c>
      <c r="G170" s="45">
        <v>1.0</v>
      </c>
      <c r="I170" s="45" t="s">
        <v>316</v>
      </c>
      <c r="J170" s="45" t="s">
        <v>255</v>
      </c>
      <c r="K170" s="61">
        <v>1.0</v>
      </c>
      <c r="L170" s="45" t="s">
        <v>521</v>
      </c>
    </row>
    <row r="171">
      <c r="A171" s="45" t="s">
        <v>271</v>
      </c>
      <c r="B171" s="45" t="s">
        <v>146</v>
      </c>
      <c r="C171" s="45" t="s">
        <v>237</v>
      </c>
      <c r="D171" s="45">
        <v>0.2</v>
      </c>
      <c r="E171" s="45">
        <v>1.0</v>
      </c>
      <c r="F171" s="45">
        <v>2.0</v>
      </c>
      <c r="G171" s="45">
        <v>2.0</v>
      </c>
      <c r="I171" s="45" t="s">
        <v>316</v>
      </c>
      <c r="J171" s="45" t="s">
        <v>318</v>
      </c>
      <c r="K171" s="61">
        <v>1.0</v>
      </c>
      <c r="L171" s="45" t="s">
        <v>521</v>
      </c>
    </row>
    <row r="172">
      <c r="A172" s="45" t="s">
        <v>271</v>
      </c>
      <c r="B172" s="45" t="s">
        <v>549</v>
      </c>
      <c r="C172" s="45" t="s">
        <v>207</v>
      </c>
      <c r="D172" s="45">
        <v>0.25</v>
      </c>
      <c r="E172" s="45">
        <v>1.0</v>
      </c>
      <c r="F172" s="45">
        <v>2.0</v>
      </c>
      <c r="G172" s="45">
        <v>3.0</v>
      </c>
      <c r="I172" s="45" t="s">
        <v>316</v>
      </c>
      <c r="J172" s="45" t="s">
        <v>286</v>
      </c>
      <c r="K172" s="61">
        <v>2.0</v>
      </c>
      <c r="L172" s="45" t="s">
        <v>521</v>
      </c>
    </row>
    <row r="173">
      <c r="A173" s="45" t="s">
        <v>271</v>
      </c>
      <c r="B173" s="45" t="s">
        <v>577</v>
      </c>
      <c r="C173" s="45" t="s">
        <v>91</v>
      </c>
      <c r="D173" s="45">
        <v>0.2</v>
      </c>
      <c r="E173" s="45">
        <v>1.0</v>
      </c>
      <c r="F173" s="45">
        <v>1.0</v>
      </c>
      <c r="G173" s="45">
        <v>4.0</v>
      </c>
      <c r="I173" s="45" t="s">
        <v>316</v>
      </c>
      <c r="J173" s="45" t="s">
        <v>58</v>
      </c>
      <c r="K173" s="61">
        <v>1.0</v>
      </c>
      <c r="L173" s="45" t="s">
        <v>521</v>
      </c>
    </row>
    <row r="174">
      <c r="A174" s="45" t="s">
        <v>271</v>
      </c>
      <c r="B174" s="45" t="s">
        <v>578</v>
      </c>
      <c r="C174" s="45" t="s">
        <v>207</v>
      </c>
      <c r="D174" s="45">
        <v>0.25</v>
      </c>
      <c r="E174" s="45">
        <v>1.0</v>
      </c>
      <c r="F174" s="45">
        <v>2.0</v>
      </c>
      <c r="G174" s="45">
        <v>5.0</v>
      </c>
      <c r="I174" s="45" t="s">
        <v>316</v>
      </c>
      <c r="J174" s="45" t="s">
        <v>158</v>
      </c>
      <c r="K174" s="61">
        <v>2.0</v>
      </c>
      <c r="L174" s="45" t="s">
        <v>534</v>
      </c>
    </row>
    <row r="175">
      <c r="A175" s="45" t="s">
        <v>271</v>
      </c>
      <c r="B175" s="45" t="s">
        <v>537</v>
      </c>
      <c r="C175" s="45" t="s">
        <v>142</v>
      </c>
      <c r="D175" s="45">
        <v>1.0</v>
      </c>
      <c r="E175" s="45">
        <v>1.0</v>
      </c>
      <c r="F175" s="45">
        <v>2.0</v>
      </c>
      <c r="G175" s="45">
        <v>6.0</v>
      </c>
      <c r="I175" s="45" t="s">
        <v>323</v>
      </c>
      <c r="J175" s="45" t="s">
        <v>331</v>
      </c>
      <c r="K175" s="61">
        <v>1.0</v>
      </c>
      <c r="L175" s="45" t="s">
        <v>521</v>
      </c>
    </row>
    <row r="176">
      <c r="A176" s="45" t="s">
        <v>271</v>
      </c>
      <c r="B176" s="45" t="s">
        <v>538</v>
      </c>
      <c r="C176" s="45" t="s">
        <v>152</v>
      </c>
      <c r="D176" s="45">
        <v>0.4</v>
      </c>
      <c r="E176" s="45">
        <v>1.0</v>
      </c>
      <c r="F176" s="45">
        <v>1.0</v>
      </c>
      <c r="G176" s="45">
        <v>7.0</v>
      </c>
      <c r="I176" s="45" t="s">
        <v>323</v>
      </c>
      <c r="J176" s="45" t="s">
        <v>255</v>
      </c>
      <c r="K176" s="61">
        <v>1.0</v>
      </c>
      <c r="L176" s="45" t="s">
        <v>521</v>
      </c>
    </row>
    <row r="177">
      <c r="A177" s="45" t="s">
        <v>271</v>
      </c>
      <c r="B177" s="45" t="s">
        <v>591</v>
      </c>
      <c r="C177" s="45" t="s">
        <v>142</v>
      </c>
      <c r="D177" s="45">
        <v>1.0</v>
      </c>
      <c r="E177" s="45">
        <v>1.0</v>
      </c>
      <c r="F177" s="45">
        <v>2.0</v>
      </c>
      <c r="G177" s="45">
        <v>8.0</v>
      </c>
      <c r="I177" s="45" t="s">
        <v>323</v>
      </c>
      <c r="J177" s="45" t="s">
        <v>286</v>
      </c>
      <c r="K177" s="61">
        <v>1.0</v>
      </c>
      <c r="L177" s="45" t="s">
        <v>521</v>
      </c>
    </row>
    <row r="178">
      <c r="A178" s="45" t="s">
        <v>271</v>
      </c>
      <c r="B178" s="45" t="s">
        <v>593</v>
      </c>
      <c r="C178" s="45" t="s">
        <v>80</v>
      </c>
      <c r="D178" s="45">
        <v>0.2</v>
      </c>
      <c r="E178" s="45">
        <v>1.0</v>
      </c>
      <c r="F178" s="45">
        <v>1.0</v>
      </c>
      <c r="G178" s="45">
        <v>9.0</v>
      </c>
      <c r="I178" s="45" t="s">
        <v>323</v>
      </c>
      <c r="J178" s="45" t="s">
        <v>163</v>
      </c>
      <c r="K178" s="61">
        <v>2.0</v>
      </c>
      <c r="L178" s="45" t="s">
        <v>534</v>
      </c>
    </row>
    <row r="179">
      <c r="A179" s="45" t="s">
        <v>271</v>
      </c>
      <c r="B179" s="45" t="s">
        <v>525</v>
      </c>
      <c r="C179" s="45" t="s">
        <v>80</v>
      </c>
      <c r="D179" s="45">
        <v>0.2</v>
      </c>
      <c r="E179" s="45">
        <v>1.0</v>
      </c>
      <c r="F179" s="45">
        <v>1.0</v>
      </c>
      <c r="G179" s="45">
        <v>10.0</v>
      </c>
      <c r="I179" s="45" t="s">
        <v>329</v>
      </c>
      <c r="J179" s="45" t="s">
        <v>331</v>
      </c>
      <c r="K179" s="61">
        <v>1.0</v>
      </c>
      <c r="L179" s="45" t="s">
        <v>521</v>
      </c>
    </row>
    <row r="180">
      <c r="A180" s="45" t="s">
        <v>271</v>
      </c>
      <c r="B180" s="45" t="s">
        <v>581</v>
      </c>
      <c r="C180" s="45" t="s">
        <v>80</v>
      </c>
      <c r="D180" s="45">
        <v>0.2</v>
      </c>
      <c r="E180" s="45">
        <v>1.0</v>
      </c>
      <c r="F180" s="45">
        <v>1.0</v>
      </c>
      <c r="G180" s="45">
        <v>11.0</v>
      </c>
      <c r="I180" s="45" t="s">
        <v>329</v>
      </c>
      <c r="J180" s="45" t="s">
        <v>58</v>
      </c>
      <c r="K180" s="61">
        <v>0.2</v>
      </c>
      <c r="L180" s="45" t="s">
        <v>521</v>
      </c>
    </row>
    <row r="181">
      <c r="A181" s="45" t="s">
        <v>271</v>
      </c>
      <c r="B181" s="45" t="s">
        <v>596</v>
      </c>
      <c r="C181" s="45" t="s">
        <v>28</v>
      </c>
      <c r="D181" s="45">
        <v>0.1</v>
      </c>
      <c r="E181" s="45">
        <v>1.0</v>
      </c>
      <c r="F181" s="45">
        <v>1.0</v>
      </c>
      <c r="G181" s="45">
        <v>12.0</v>
      </c>
      <c r="I181" s="45" t="s">
        <v>329</v>
      </c>
      <c r="J181" s="45" t="s">
        <v>176</v>
      </c>
      <c r="K181" s="61">
        <v>1.0</v>
      </c>
      <c r="L181" s="45" t="s">
        <v>521</v>
      </c>
    </row>
    <row r="182">
      <c r="A182" s="45" t="s">
        <v>277</v>
      </c>
      <c r="B182" s="45" t="s">
        <v>520</v>
      </c>
      <c r="C182" s="45" t="s">
        <v>53</v>
      </c>
      <c r="D182" s="45">
        <v>0.1</v>
      </c>
      <c r="E182" s="61">
        <v>1.0</v>
      </c>
      <c r="F182" s="61">
        <v>3.0</v>
      </c>
      <c r="G182" s="61">
        <v>1.0</v>
      </c>
      <c r="I182" s="45" t="s">
        <v>329</v>
      </c>
      <c r="J182" s="45" t="s">
        <v>195</v>
      </c>
      <c r="K182" s="61">
        <v>1.0</v>
      </c>
      <c r="L182" s="45" t="s">
        <v>521</v>
      </c>
    </row>
    <row r="183">
      <c r="A183" s="45" t="s">
        <v>277</v>
      </c>
      <c r="B183" s="45" t="s">
        <v>577</v>
      </c>
      <c r="C183" s="45" t="s">
        <v>91</v>
      </c>
      <c r="D183" s="61">
        <v>0.2</v>
      </c>
      <c r="E183" s="61">
        <v>1.0</v>
      </c>
      <c r="F183" s="61">
        <v>1.0</v>
      </c>
      <c r="G183" s="61">
        <v>2.0</v>
      </c>
      <c r="I183" s="45" t="s">
        <v>329</v>
      </c>
      <c r="J183" s="45" t="s">
        <v>204</v>
      </c>
      <c r="K183" s="61">
        <v>0.4</v>
      </c>
      <c r="L183" s="45" t="s">
        <v>521</v>
      </c>
    </row>
    <row r="184">
      <c r="A184" s="45" t="s">
        <v>277</v>
      </c>
      <c r="B184" s="45" t="s">
        <v>578</v>
      </c>
      <c r="C184" s="45" t="s">
        <v>207</v>
      </c>
      <c r="D184" s="61">
        <v>0.25</v>
      </c>
      <c r="E184" s="61">
        <v>1.0</v>
      </c>
      <c r="F184" s="61">
        <v>2.0</v>
      </c>
      <c r="G184" s="61">
        <v>3.0</v>
      </c>
      <c r="I184" s="45" t="s">
        <v>329</v>
      </c>
      <c r="J184" s="45" t="s">
        <v>141</v>
      </c>
      <c r="K184" s="61">
        <v>1.0</v>
      </c>
      <c r="L184" s="45" t="s">
        <v>521</v>
      </c>
    </row>
    <row r="185">
      <c r="A185" s="45" t="s">
        <v>277</v>
      </c>
      <c r="B185" s="45" t="s">
        <v>537</v>
      </c>
      <c r="C185" s="45" t="s">
        <v>142</v>
      </c>
      <c r="D185" s="61">
        <v>1.0</v>
      </c>
      <c r="E185" s="61">
        <v>1.0</v>
      </c>
      <c r="F185" s="61">
        <v>2.0</v>
      </c>
      <c r="G185" s="61">
        <v>4.0</v>
      </c>
      <c r="I185" s="45" t="s">
        <v>329</v>
      </c>
      <c r="J185" s="45" t="s">
        <v>160</v>
      </c>
      <c r="K185" s="61">
        <v>0.5</v>
      </c>
      <c r="L185" s="45" t="s">
        <v>534</v>
      </c>
    </row>
    <row r="186">
      <c r="A186" s="45" t="s">
        <v>277</v>
      </c>
      <c r="B186" s="45" t="s">
        <v>538</v>
      </c>
      <c r="C186" s="45" t="s">
        <v>152</v>
      </c>
      <c r="D186" s="61">
        <v>0.1</v>
      </c>
      <c r="E186" s="61">
        <v>1.0</v>
      </c>
      <c r="F186" s="61">
        <v>1.0</v>
      </c>
      <c r="G186" s="61">
        <v>5.0</v>
      </c>
      <c r="I186" s="45" t="s">
        <v>334</v>
      </c>
      <c r="J186" s="45" t="s">
        <v>331</v>
      </c>
      <c r="K186" s="45">
        <v>1.0</v>
      </c>
      <c r="L186" s="45" t="s">
        <v>521</v>
      </c>
    </row>
    <row r="187">
      <c r="A187" s="45" t="s">
        <v>277</v>
      </c>
      <c r="B187" s="45" t="s">
        <v>593</v>
      </c>
      <c r="C187" s="45" t="s">
        <v>80</v>
      </c>
      <c r="D187" s="61">
        <v>0.2</v>
      </c>
      <c r="E187" s="61">
        <v>1.0</v>
      </c>
      <c r="F187" s="61">
        <v>1.0</v>
      </c>
      <c r="G187" s="61">
        <v>7.0</v>
      </c>
      <c r="I187" s="45" t="s">
        <v>334</v>
      </c>
      <c r="J187" s="45" t="s">
        <v>202</v>
      </c>
      <c r="K187" s="45">
        <v>1.0</v>
      </c>
      <c r="L187" s="45" t="s">
        <v>521</v>
      </c>
    </row>
    <row r="188">
      <c r="A188" s="45" t="s">
        <v>277</v>
      </c>
      <c r="B188" s="45" t="s">
        <v>579</v>
      </c>
      <c r="C188" s="45" t="s">
        <v>152</v>
      </c>
      <c r="D188" s="61">
        <v>0.2</v>
      </c>
      <c r="E188" s="61">
        <v>1.0</v>
      </c>
      <c r="F188" s="61">
        <v>1.0</v>
      </c>
      <c r="G188" s="61">
        <v>8.0</v>
      </c>
      <c r="I188" s="45" t="s">
        <v>334</v>
      </c>
      <c r="J188" s="45" t="s">
        <v>135</v>
      </c>
      <c r="K188" s="45">
        <v>1.0</v>
      </c>
      <c r="L188" s="45" t="s">
        <v>521</v>
      </c>
    </row>
    <row r="189">
      <c r="A189" s="45" t="s">
        <v>277</v>
      </c>
      <c r="B189" s="45" t="s">
        <v>542</v>
      </c>
      <c r="C189" s="45" t="s">
        <v>142</v>
      </c>
      <c r="D189" s="61">
        <v>1.0</v>
      </c>
      <c r="E189" s="61">
        <v>1.0</v>
      </c>
      <c r="F189" s="61">
        <v>2.0</v>
      </c>
      <c r="G189" s="61">
        <v>9.0</v>
      </c>
      <c r="I189" s="45" t="s">
        <v>334</v>
      </c>
      <c r="J189" s="45" t="s">
        <v>59</v>
      </c>
      <c r="K189" s="45">
        <v>1.0</v>
      </c>
      <c r="L189" s="45" t="s">
        <v>521</v>
      </c>
    </row>
    <row r="190">
      <c r="A190" s="45" t="s">
        <v>277</v>
      </c>
      <c r="B190" s="45" t="s">
        <v>543</v>
      </c>
      <c r="C190" s="45" t="s">
        <v>152</v>
      </c>
      <c r="D190" s="61">
        <v>0.4</v>
      </c>
      <c r="E190" s="61">
        <v>1.0</v>
      </c>
      <c r="F190" s="61">
        <v>1.0</v>
      </c>
      <c r="G190" s="61">
        <v>10.0</v>
      </c>
      <c r="I190" s="45" t="s">
        <v>334</v>
      </c>
      <c r="J190" s="45" t="s">
        <v>58</v>
      </c>
      <c r="K190" s="45">
        <v>1.2</v>
      </c>
      <c r="L190" s="45" t="s">
        <v>521</v>
      </c>
    </row>
    <row r="191">
      <c r="A191" s="45" t="s">
        <v>277</v>
      </c>
      <c r="B191" s="45" t="s">
        <v>565</v>
      </c>
      <c r="C191" s="45" t="s">
        <v>80</v>
      </c>
      <c r="D191" s="61">
        <v>0.2</v>
      </c>
      <c r="E191" s="61">
        <v>1.0</v>
      </c>
      <c r="F191" s="61">
        <v>1.0</v>
      </c>
      <c r="G191" s="61">
        <v>11.0</v>
      </c>
      <c r="I191" s="45" t="s">
        <v>334</v>
      </c>
      <c r="J191" s="45" t="s">
        <v>204</v>
      </c>
      <c r="K191" s="45">
        <v>0.6</v>
      </c>
      <c r="L191" s="45" t="s">
        <v>521</v>
      </c>
    </row>
    <row r="192">
      <c r="A192" s="45" t="s">
        <v>281</v>
      </c>
      <c r="B192" s="45" t="s">
        <v>520</v>
      </c>
      <c r="C192" s="45" t="s">
        <v>53</v>
      </c>
      <c r="D192" s="61">
        <v>0.2</v>
      </c>
      <c r="E192" s="61">
        <v>1.0</v>
      </c>
      <c r="F192" s="61">
        <v>3.0</v>
      </c>
      <c r="G192" s="61">
        <v>1.0</v>
      </c>
      <c r="I192" s="45" t="s">
        <v>334</v>
      </c>
      <c r="J192" s="45" t="s">
        <v>160</v>
      </c>
      <c r="K192" s="45">
        <v>0.5</v>
      </c>
      <c r="L192" s="45" t="s">
        <v>534</v>
      </c>
    </row>
    <row r="193">
      <c r="A193" s="45" t="s">
        <v>281</v>
      </c>
      <c r="B193" s="45" t="s">
        <v>260</v>
      </c>
      <c r="C193" s="45" t="s">
        <v>237</v>
      </c>
      <c r="D193" s="61">
        <v>0.2</v>
      </c>
      <c r="E193" s="61">
        <v>1.0</v>
      </c>
      <c r="F193" s="61">
        <v>2.0</v>
      </c>
      <c r="G193" s="61">
        <v>2.0</v>
      </c>
      <c r="I193" s="45" t="s">
        <v>334</v>
      </c>
      <c r="J193" s="45" t="s">
        <v>158</v>
      </c>
      <c r="K193" s="45">
        <v>1.0</v>
      </c>
      <c r="L193" s="45" t="s">
        <v>534</v>
      </c>
    </row>
    <row r="194">
      <c r="A194" s="45" t="s">
        <v>281</v>
      </c>
      <c r="B194" s="45" t="s">
        <v>582</v>
      </c>
      <c r="C194" s="45" t="s">
        <v>207</v>
      </c>
      <c r="D194" s="61">
        <v>0.5</v>
      </c>
      <c r="E194" s="61">
        <v>1.0</v>
      </c>
      <c r="F194" s="61">
        <v>2.0</v>
      </c>
      <c r="G194" s="61">
        <v>3.0</v>
      </c>
      <c r="I194" s="45" t="s">
        <v>339</v>
      </c>
      <c r="J194" s="45" t="s">
        <v>264</v>
      </c>
      <c r="K194" s="61">
        <v>1.0</v>
      </c>
      <c r="L194" s="45" t="s">
        <v>521</v>
      </c>
    </row>
    <row r="195">
      <c r="A195" s="45" t="s">
        <v>281</v>
      </c>
      <c r="B195" s="45" t="s">
        <v>583</v>
      </c>
      <c r="C195" s="45" t="s">
        <v>207</v>
      </c>
      <c r="D195" s="61">
        <f>0.25 / 1.5</f>
        <v>0.1666666667</v>
      </c>
      <c r="E195" s="61">
        <v>1.0</v>
      </c>
      <c r="F195" s="61">
        <v>2.0</v>
      </c>
      <c r="G195" s="61">
        <v>4.0</v>
      </c>
      <c r="I195" s="45" t="s">
        <v>339</v>
      </c>
      <c r="J195" s="45" t="s">
        <v>224</v>
      </c>
      <c r="K195" s="61">
        <v>1.0</v>
      </c>
      <c r="L195" s="45" t="s">
        <v>521</v>
      </c>
    </row>
    <row r="196">
      <c r="A196" s="45" t="s">
        <v>281</v>
      </c>
      <c r="B196" s="45" t="s">
        <v>584</v>
      </c>
      <c r="C196" s="45" t="s">
        <v>237</v>
      </c>
      <c r="D196" s="61">
        <v>0.2</v>
      </c>
      <c r="E196" s="61">
        <v>1.0</v>
      </c>
      <c r="F196" s="61">
        <v>2.0</v>
      </c>
      <c r="G196" s="61">
        <v>5.0</v>
      </c>
      <c r="I196" s="45" t="s">
        <v>339</v>
      </c>
      <c r="J196" s="45" t="s">
        <v>255</v>
      </c>
      <c r="K196" s="61">
        <v>1.0</v>
      </c>
      <c r="L196" s="45" t="s">
        <v>521</v>
      </c>
    </row>
    <row r="197">
      <c r="A197" s="45" t="s">
        <v>281</v>
      </c>
      <c r="B197" s="45" t="s">
        <v>600</v>
      </c>
      <c r="C197" s="45" t="s">
        <v>145</v>
      </c>
      <c r="D197" s="45">
        <v>0.5</v>
      </c>
      <c r="E197" s="45">
        <v>1.0</v>
      </c>
      <c r="F197" s="45">
        <v>2.0</v>
      </c>
      <c r="G197" s="45">
        <v>7.0</v>
      </c>
      <c r="I197" s="45" t="s">
        <v>339</v>
      </c>
      <c r="J197" s="45" t="s">
        <v>286</v>
      </c>
      <c r="K197" s="61">
        <v>1.0</v>
      </c>
      <c r="L197" s="45" t="s">
        <v>521</v>
      </c>
    </row>
    <row r="198">
      <c r="A198" s="45" t="s">
        <v>281</v>
      </c>
      <c r="B198" s="45" t="s">
        <v>577</v>
      </c>
      <c r="C198" s="45" t="s">
        <v>91</v>
      </c>
      <c r="D198" s="45">
        <v>0.2</v>
      </c>
      <c r="E198" s="45">
        <v>1.0</v>
      </c>
      <c r="F198" s="45">
        <v>1.0</v>
      </c>
      <c r="G198" s="45">
        <v>8.0</v>
      </c>
      <c r="I198" s="45" t="s">
        <v>339</v>
      </c>
      <c r="J198" s="45" t="s">
        <v>58</v>
      </c>
      <c r="K198" s="45">
        <v>1.1</v>
      </c>
      <c r="L198" s="45" t="s">
        <v>521</v>
      </c>
    </row>
    <row r="199">
      <c r="A199" s="45" t="s">
        <v>281</v>
      </c>
      <c r="B199" s="45" t="s">
        <v>578</v>
      </c>
      <c r="C199" s="45" t="s">
        <v>207</v>
      </c>
      <c r="D199" s="45">
        <v>0.25</v>
      </c>
      <c r="E199" s="45">
        <v>1.0</v>
      </c>
      <c r="F199" s="45">
        <v>2.0</v>
      </c>
      <c r="G199" s="45">
        <v>9.0</v>
      </c>
      <c r="I199" s="45" t="s">
        <v>339</v>
      </c>
      <c r="J199" s="45" t="s">
        <v>204</v>
      </c>
      <c r="K199" s="61">
        <v>0.2</v>
      </c>
      <c r="L199" s="45" t="s">
        <v>521</v>
      </c>
    </row>
    <row r="200">
      <c r="A200" s="45" t="s">
        <v>281</v>
      </c>
      <c r="B200" s="45" t="s">
        <v>537</v>
      </c>
      <c r="C200" s="45" t="s">
        <v>142</v>
      </c>
      <c r="D200" s="45">
        <v>0.5</v>
      </c>
      <c r="E200" s="45">
        <v>1.0</v>
      </c>
      <c r="F200" s="45">
        <v>2.0</v>
      </c>
      <c r="G200" s="45">
        <v>10.0</v>
      </c>
      <c r="I200" s="45" t="s">
        <v>339</v>
      </c>
      <c r="J200" s="45" t="s">
        <v>163</v>
      </c>
      <c r="K200" s="61">
        <v>1.0</v>
      </c>
      <c r="L200" s="45" t="s">
        <v>534</v>
      </c>
    </row>
    <row r="201">
      <c r="A201" s="45" t="s">
        <v>281</v>
      </c>
      <c r="B201" s="45" t="s">
        <v>538</v>
      </c>
      <c r="C201" s="45" t="s">
        <v>152</v>
      </c>
      <c r="D201" s="45">
        <v>0.2</v>
      </c>
      <c r="E201" s="45">
        <v>1.0</v>
      </c>
      <c r="F201" s="45">
        <v>1.0</v>
      </c>
      <c r="G201" s="45">
        <v>11.0</v>
      </c>
      <c r="I201" s="45" t="s">
        <v>339</v>
      </c>
      <c r="J201" s="45" t="s">
        <v>158</v>
      </c>
      <c r="K201" s="61">
        <v>1.0</v>
      </c>
      <c r="L201" s="45" t="s">
        <v>534</v>
      </c>
    </row>
    <row r="202">
      <c r="A202" s="45" t="s">
        <v>281</v>
      </c>
      <c r="B202" s="45" t="s">
        <v>591</v>
      </c>
      <c r="C202" s="45" t="s">
        <v>142</v>
      </c>
      <c r="D202" s="45">
        <v>1.0</v>
      </c>
      <c r="E202" s="45">
        <v>1.0</v>
      </c>
      <c r="F202" s="45">
        <v>2.0</v>
      </c>
      <c r="G202" s="45">
        <v>12.0</v>
      </c>
      <c r="I202" s="45" t="s">
        <v>346</v>
      </c>
      <c r="J202" s="45" t="s">
        <v>264</v>
      </c>
      <c r="K202" s="45">
        <v>1.0</v>
      </c>
      <c r="L202" s="45" t="s">
        <v>521</v>
      </c>
    </row>
    <row r="203">
      <c r="A203" s="45" t="s">
        <v>281</v>
      </c>
      <c r="B203" s="45" t="s">
        <v>593</v>
      </c>
      <c r="C203" s="45" t="s">
        <v>80</v>
      </c>
      <c r="D203" s="45">
        <v>0.2</v>
      </c>
      <c r="E203" s="45">
        <v>1.0</v>
      </c>
      <c r="F203" s="45">
        <v>1.0</v>
      </c>
      <c r="G203" s="45">
        <v>13.0</v>
      </c>
      <c r="I203" s="45" t="s">
        <v>346</v>
      </c>
      <c r="J203" s="45" t="s">
        <v>58</v>
      </c>
      <c r="K203" s="45">
        <v>1.1</v>
      </c>
      <c r="L203" s="45" t="s">
        <v>521</v>
      </c>
    </row>
    <row r="204">
      <c r="A204" s="45" t="s">
        <v>281</v>
      </c>
      <c r="B204" s="45" t="s">
        <v>587</v>
      </c>
      <c r="C204" s="45" t="s">
        <v>152</v>
      </c>
      <c r="D204" s="45">
        <v>0.4</v>
      </c>
      <c r="E204" s="45">
        <v>1.0</v>
      </c>
      <c r="F204" s="45">
        <v>1.0</v>
      </c>
      <c r="G204" s="45">
        <v>14.0</v>
      </c>
      <c r="I204" s="45" t="s">
        <v>346</v>
      </c>
      <c r="J204" s="45" t="s">
        <v>156</v>
      </c>
      <c r="K204" s="45">
        <v>0.5</v>
      </c>
      <c r="L204" s="45" t="s">
        <v>521</v>
      </c>
    </row>
    <row r="205">
      <c r="A205" s="45" t="s">
        <v>281</v>
      </c>
      <c r="B205" s="45" t="s">
        <v>531</v>
      </c>
      <c r="C205" s="45" t="s">
        <v>28</v>
      </c>
      <c r="D205" s="45">
        <f>1/11</f>
        <v>0.09090909091</v>
      </c>
      <c r="E205" s="45">
        <v>1.0</v>
      </c>
      <c r="F205" s="45">
        <v>1.0</v>
      </c>
      <c r="G205" s="45">
        <v>15.0</v>
      </c>
      <c r="I205" s="45" t="s">
        <v>346</v>
      </c>
      <c r="J205" s="45" t="s">
        <v>204</v>
      </c>
      <c r="K205" s="45">
        <v>0.2</v>
      </c>
      <c r="L205" s="45" t="s">
        <v>521</v>
      </c>
    </row>
    <row r="206">
      <c r="A206" s="45" t="s">
        <v>285</v>
      </c>
      <c r="B206" s="45" t="s">
        <v>520</v>
      </c>
      <c r="C206" s="45" t="s">
        <v>53</v>
      </c>
      <c r="D206" s="45">
        <v>0.2</v>
      </c>
      <c r="E206" s="45">
        <v>1.0</v>
      </c>
      <c r="F206" s="45">
        <v>3.0</v>
      </c>
      <c r="G206" s="45">
        <v>1.0</v>
      </c>
      <c r="I206" s="45" t="s">
        <v>346</v>
      </c>
      <c r="J206" s="45" t="s">
        <v>176</v>
      </c>
      <c r="K206" s="45">
        <v>0.5</v>
      </c>
      <c r="L206" s="45" t="s">
        <v>521</v>
      </c>
    </row>
    <row r="207">
      <c r="A207" s="45" t="s">
        <v>285</v>
      </c>
      <c r="B207" s="45" t="s">
        <v>590</v>
      </c>
      <c r="C207" s="45" t="s">
        <v>80</v>
      </c>
      <c r="D207" s="61">
        <v>0.2</v>
      </c>
      <c r="E207" s="61">
        <v>1.0</v>
      </c>
      <c r="F207" s="61">
        <v>1.0</v>
      </c>
      <c r="G207" s="61">
        <v>2.0</v>
      </c>
      <c r="I207" s="45" t="s">
        <v>346</v>
      </c>
      <c r="J207" s="45" t="s">
        <v>141</v>
      </c>
      <c r="K207" s="45">
        <v>1.0</v>
      </c>
      <c r="L207" s="45" t="s">
        <v>521</v>
      </c>
    </row>
    <row r="208">
      <c r="A208" s="45" t="s">
        <v>285</v>
      </c>
      <c r="B208" s="45" t="s">
        <v>596</v>
      </c>
      <c r="C208" s="45" t="s">
        <v>28</v>
      </c>
      <c r="D208" s="61">
        <v>0.2</v>
      </c>
      <c r="E208" s="61">
        <v>1.0</v>
      </c>
      <c r="F208" s="61">
        <v>1.0</v>
      </c>
      <c r="G208" s="61">
        <v>3.0</v>
      </c>
      <c r="I208" s="45" t="s">
        <v>346</v>
      </c>
      <c r="J208" s="45" t="s">
        <v>163</v>
      </c>
      <c r="K208" s="45">
        <v>1.0</v>
      </c>
      <c r="L208" s="45" t="s">
        <v>534</v>
      </c>
    </row>
    <row r="209">
      <c r="A209" s="45" t="s">
        <v>285</v>
      </c>
      <c r="B209" s="45" t="s">
        <v>580</v>
      </c>
      <c r="C209" s="45" t="s">
        <v>80</v>
      </c>
      <c r="D209" s="61">
        <v>0.2</v>
      </c>
      <c r="E209" s="61">
        <v>1.0</v>
      </c>
      <c r="F209" s="61">
        <v>1.0</v>
      </c>
      <c r="G209" s="61">
        <v>4.0</v>
      </c>
      <c r="I209" s="45" t="s">
        <v>346</v>
      </c>
      <c r="J209" s="45" t="s">
        <v>160</v>
      </c>
      <c r="K209" s="45">
        <v>0.5</v>
      </c>
      <c r="L209" s="45" t="s">
        <v>534</v>
      </c>
    </row>
    <row r="210">
      <c r="A210" s="45" t="s">
        <v>285</v>
      </c>
      <c r="B210" s="45" t="s">
        <v>525</v>
      </c>
      <c r="C210" s="45" t="s">
        <v>80</v>
      </c>
      <c r="D210" s="61">
        <v>0.2</v>
      </c>
      <c r="E210" s="61">
        <v>1.0</v>
      </c>
      <c r="F210" s="61">
        <v>1.0</v>
      </c>
      <c r="G210" s="61">
        <v>5.0</v>
      </c>
      <c r="I210" s="45" t="s">
        <v>346</v>
      </c>
      <c r="J210" s="45" t="s">
        <v>158</v>
      </c>
      <c r="K210" s="45">
        <v>3.0</v>
      </c>
      <c r="L210" s="45" t="s">
        <v>534</v>
      </c>
    </row>
    <row r="211">
      <c r="A211" s="45" t="s">
        <v>289</v>
      </c>
      <c r="B211" s="45" t="s">
        <v>520</v>
      </c>
      <c r="C211" s="45" t="s">
        <v>53</v>
      </c>
      <c r="D211" s="61">
        <v>0.2</v>
      </c>
      <c r="E211" s="61">
        <v>1.0</v>
      </c>
      <c r="F211" s="61">
        <v>3.0</v>
      </c>
      <c r="G211" s="61">
        <v>1.0</v>
      </c>
      <c r="I211" s="45" t="s">
        <v>352</v>
      </c>
      <c r="J211" s="45" t="s">
        <v>264</v>
      </c>
      <c r="K211" s="61">
        <v>1.0</v>
      </c>
      <c r="L211" s="45" t="s">
        <v>521</v>
      </c>
    </row>
    <row r="212">
      <c r="A212" s="45" t="s">
        <v>289</v>
      </c>
      <c r="B212" s="45" t="s">
        <v>290</v>
      </c>
      <c r="C212" s="45" t="s">
        <v>237</v>
      </c>
      <c r="D212" s="61">
        <v>0.2</v>
      </c>
      <c r="E212" s="61">
        <v>1.0</v>
      </c>
      <c r="F212" s="61">
        <v>2.0</v>
      </c>
      <c r="G212" s="61">
        <v>2.0</v>
      </c>
      <c r="I212" s="45" t="s">
        <v>352</v>
      </c>
      <c r="J212" s="45" t="s">
        <v>58</v>
      </c>
      <c r="K212" s="45">
        <v>1.1</v>
      </c>
      <c r="L212" s="45" t="s">
        <v>521</v>
      </c>
    </row>
    <row r="213">
      <c r="A213" s="45" t="s">
        <v>289</v>
      </c>
      <c r="B213" s="45" t="s">
        <v>590</v>
      </c>
      <c r="C213" s="45" t="s">
        <v>80</v>
      </c>
      <c r="D213" s="61">
        <v>0.2</v>
      </c>
      <c r="E213" s="61">
        <v>1.0</v>
      </c>
      <c r="F213" s="61">
        <v>1.0</v>
      </c>
      <c r="G213" s="61">
        <v>3.0</v>
      </c>
      <c r="I213" s="45" t="s">
        <v>352</v>
      </c>
      <c r="J213" s="45" t="s">
        <v>351</v>
      </c>
      <c r="K213" s="61">
        <v>1.0</v>
      </c>
      <c r="L213" s="45" t="s">
        <v>521</v>
      </c>
    </row>
    <row r="214">
      <c r="A214" s="45" t="s">
        <v>289</v>
      </c>
      <c r="B214" s="45" t="s">
        <v>596</v>
      </c>
      <c r="C214" s="45" t="s">
        <v>28</v>
      </c>
      <c r="D214" s="61">
        <v>0.1</v>
      </c>
      <c r="E214" s="61">
        <v>1.0</v>
      </c>
      <c r="F214" s="61">
        <v>1.0</v>
      </c>
      <c r="G214" s="61">
        <v>4.0</v>
      </c>
      <c r="I214" s="45" t="s">
        <v>352</v>
      </c>
      <c r="J214" s="45" t="s">
        <v>135</v>
      </c>
      <c r="K214" s="61">
        <v>1.0</v>
      </c>
      <c r="L214" s="45" t="s">
        <v>521</v>
      </c>
    </row>
    <row r="215">
      <c r="A215" s="45" t="s">
        <v>289</v>
      </c>
      <c r="B215" s="45" t="s">
        <v>580</v>
      </c>
      <c r="C215" s="45" t="s">
        <v>80</v>
      </c>
      <c r="D215" s="61">
        <v>0.1</v>
      </c>
      <c r="E215" s="61">
        <v>1.0</v>
      </c>
      <c r="F215" s="61">
        <v>1.0</v>
      </c>
      <c r="G215" s="61">
        <v>5.0</v>
      </c>
      <c r="I215" s="45" t="s">
        <v>352</v>
      </c>
      <c r="J215" s="45" t="s">
        <v>59</v>
      </c>
      <c r="K215" s="61">
        <v>1.0</v>
      </c>
      <c r="L215" s="45" t="s">
        <v>521</v>
      </c>
    </row>
    <row r="216">
      <c r="A216" s="45" t="s">
        <v>289</v>
      </c>
      <c r="B216" s="45" t="s">
        <v>565</v>
      </c>
      <c r="C216" s="45" t="s">
        <v>80</v>
      </c>
      <c r="D216" s="61">
        <v>0.2</v>
      </c>
      <c r="E216" s="61">
        <v>1.0</v>
      </c>
      <c r="F216" s="61">
        <v>1.0</v>
      </c>
      <c r="G216" s="61">
        <v>6.0</v>
      </c>
      <c r="I216" s="45" t="s">
        <v>352</v>
      </c>
      <c r="J216" s="45" t="s">
        <v>204</v>
      </c>
      <c r="K216" s="61">
        <v>0.2</v>
      </c>
      <c r="L216" s="45" t="s">
        <v>521</v>
      </c>
    </row>
    <row r="217">
      <c r="A217" s="45" t="s">
        <v>289</v>
      </c>
      <c r="B217" s="45" t="s">
        <v>581</v>
      </c>
      <c r="C217" s="45" t="s">
        <v>80</v>
      </c>
      <c r="D217" s="61">
        <v>0.2</v>
      </c>
      <c r="E217" s="61">
        <v>1.0</v>
      </c>
      <c r="F217" s="61">
        <v>1.0</v>
      </c>
      <c r="G217" s="61">
        <v>7.0</v>
      </c>
      <c r="I217" s="45" t="s">
        <v>352</v>
      </c>
      <c r="J217" s="45" t="s">
        <v>176</v>
      </c>
      <c r="K217" s="61">
        <v>0.5</v>
      </c>
      <c r="L217" s="45" t="s">
        <v>521</v>
      </c>
    </row>
    <row r="218">
      <c r="A218" s="45" t="s">
        <v>294</v>
      </c>
      <c r="B218" s="45" t="s">
        <v>520</v>
      </c>
      <c r="C218" s="45" t="s">
        <v>53</v>
      </c>
      <c r="D218" s="61">
        <v>0.2</v>
      </c>
      <c r="E218" s="61">
        <v>1.0</v>
      </c>
      <c r="F218" s="61">
        <v>3.0</v>
      </c>
      <c r="G218" s="61">
        <v>1.0</v>
      </c>
      <c r="I218" s="45" t="s">
        <v>352</v>
      </c>
      <c r="J218" s="45" t="s">
        <v>141</v>
      </c>
      <c r="K218" s="61">
        <v>1.0</v>
      </c>
      <c r="L218" s="45" t="s">
        <v>521</v>
      </c>
    </row>
    <row r="219">
      <c r="A219" s="45" t="s">
        <v>294</v>
      </c>
      <c r="B219" s="45" t="s">
        <v>600</v>
      </c>
      <c r="C219" s="45" t="s">
        <v>145</v>
      </c>
      <c r="D219" s="50">
        <f>0.5 / 3</f>
        <v>0.1666666667</v>
      </c>
      <c r="E219" s="61">
        <v>1.0</v>
      </c>
      <c r="F219" s="61">
        <v>2.0</v>
      </c>
      <c r="G219" s="61">
        <v>2.0</v>
      </c>
      <c r="I219" s="45" t="s">
        <v>352</v>
      </c>
      <c r="J219" s="45" t="s">
        <v>163</v>
      </c>
      <c r="K219" s="61">
        <v>1.0</v>
      </c>
      <c r="L219" s="45" t="s">
        <v>534</v>
      </c>
    </row>
    <row r="220">
      <c r="A220" s="45" t="s">
        <v>294</v>
      </c>
      <c r="B220" s="45" t="s">
        <v>584</v>
      </c>
      <c r="C220" s="45" t="s">
        <v>237</v>
      </c>
      <c r="D220" s="61">
        <v>0.1</v>
      </c>
      <c r="E220" s="61">
        <v>1.0</v>
      </c>
      <c r="F220" s="61">
        <v>2.0</v>
      </c>
      <c r="G220" s="61">
        <v>3.0</v>
      </c>
      <c r="I220" s="45" t="s">
        <v>352</v>
      </c>
      <c r="J220" s="45" t="s">
        <v>160</v>
      </c>
      <c r="K220" s="61">
        <v>0.5</v>
      </c>
      <c r="L220" s="45" t="s">
        <v>534</v>
      </c>
    </row>
    <row r="221">
      <c r="A221" s="45" t="s">
        <v>294</v>
      </c>
      <c r="B221" s="45" t="s">
        <v>577</v>
      </c>
      <c r="C221" s="45" t="s">
        <v>91</v>
      </c>
      <c r="D221" s="61">
        <v>0.2</v>
      </c>
      <c r="E221" s="61">
        <v>1.0</v>
      </c>
      <c r="F221" s="61">
        <v>1.0</v>
      </c>
      <c r="G221" s="61">
        <v>4.0</v>
      </c>
      <c r="I221" s="45" t="s">
        <v>352</v>
      </c>
      <c r="J221" s="45" t="s">
        <v>158</v>
      </c>
      <c r="K221" s="61">
        <v>2.0</v>
      </c>
      <c r="L221" s="45" t="s">
        <v>534</v>
      </c>
    </row>
    <row r="222">
      <c r="A222" s="45" t="s">
        <v>294</v>
      </c>
      <c r="B222" s="45" t="s">
        <v>578</v>
      </c>
      <c r="C222" s="45" t="s">
        <v>207</v>
      </c>
      <c r="D222" s="61">
        <v>0.25</v>
      </c>
      <c r="E222" s="61">
        <v>1.0</v>
      </c>
      <c r="F222" s="61">
        <v>2.0</v>
      </c>
      <c r="G222" s="61">
        <v>5.0</v>
      </c>
      <c r="I222" s="45" t="s">
        <v>356</v>
      </c>
      <c r="J222" s="45" t="s">
        <v>58</v>
      </c>
      <c r="K222" s="45">
        <v>1.1</v>
      </c>
      <c r="L222" s="45" t="s">
        <v>521</v>
      </c>
    </row>
    <row r="223">
      <c r="A223" s="45" t="s">
        <v>294</v>
      </c>
      <c r="B223" s="45" t="s">
        <v>537</v>
      </c>
      <c r="C223" s="45" t="s">
        <v>142</v>
      </c>
      <c r="D223" s="61">
        <v>1.0</v>
      </c>
      <c r="E223" s="61">
        <v>1.0</v>
      </c>
      <c r="F223" s="61">
        <v>2.0</v>
      </c>
      <c r="G223" s="61">
        <v>6.0</v>
      </c>
      <c r="I223" s="45" t="s">
        <v>356</v>
      </c>
      <c r="J223" s="45" t="s">
        <v>135</v>
      </c>
      <c r="K223" s="45">
        <v>1.0</v>
      </c>
      <c r="L223" s="45" t="s">
        <v>521</v>
      </c>
    </row>
    <row r="224">
      <c r="A224" s="45" t="s">
        <v>294</v>
      </c>
      <c r="B224" s="45" t="s">
        <v>538</v>
      </c>
      <c r="C224" s="45" t="s">
        <v>152</v>
      </c>
      <c r="D224" s="61">
        <v>0.4</v>
      </c>
      <c r="E224" s="61">
        <v>1.0</v>
      </c>
      <c r="F224" s="61">
        <v>1.0</v>
      </c>
      <c r="G224" s="61">
        <v>7.0</v>
      </c>
      <c r="I224" s="45" t="s">
        <v>356</v>
      </c>
      <c r="J224" s="45" t="s">
        <v>59</v>
      </c>
      <c r="K224" s="45">
        <v>1.0</v>
      </c>
      <c r="L224" s="45" t="s">
        <v>521</v>
      </c>
    </row>
    <row r="225">
      <c r="A225" s="45" t="s">
        <v>294</v>
      </c>
      <c r="B225" s="45" t="s">
        <v>591</v>
      </c>
      <c r="C225" s="45" t="s">
        <v>142</v>
      </c>
      <c r="D225" s="61">
        <v>1.0</v>
      </c>
      <c r="E225" s="61">
        <v>1.0</v>
      </c>
      <c r="F225" s="61">
        <v>2.0</v>
      </c>
      <c r="G225" s="61">
        <v>8.0</v>
      </c>
      <c r="I225" s="45" t="s">
        <v>356</v>
      </c>
      <c r="J225" s="45" t="s">
        <v>176</v>
      </c>
      <c r="K225" s="45">
        <v>0.25</v>
      </c>
      <c r="L225" s="45" t="s">
        <v>521</v>
      </c>
    </row>
    <row r="226">
      <c r="A226" s="45" t="s">
        <v>294</v>
      </c>
      <c r="B226" s="45" t="s">
        <v>593</v>
      </c>
      <c r="C226" s="45" t="s">
        <v>80</v>
      </c>
      <c r="D226" s="61">
        <v>0.2</v>
      </c>
      <c r="E226" s="61">
        <v>1.0</v>
      </c>
      <c r="F226" s="61">
        <v>1.0</v>
      </c>
      <c r="G226" s="61">
        <v>9.0</v>
      </c>
      <c r="I226" s="45" t="s">
        <v>356</v>
      </c>
      <c r="J226" s="45" t="s">
        <v>156</v>
      </c>
      <c r="K226" s="45">
        <v>0.5</v>
      </c>
      <c r="L226" s="45" t="s">
        <v>521</v>
      </c>
    </row>
    <row r="227">
      <c r="A227" s="45" t="s">
        <v>294</v>
      </c>
      <c r="B227" s="45" t="s">
        <v>587</v>
      </c>
      <c r="C227" s="45" t="s">
        <v>152</v>
      </c>
      <c r="D227" s="61">
        <v>0.8</v>
      </c>
      <c r="E227" s="61">
        <v>1.0</v>
      </c>
      <c r="F227" s="61">
        <v>1.0</v>
      </c>
      <c r="G227" s="61">
        <v>10.0</v>
      </c>
      <c r="I227" s="45" t="s">
        <v>356</v>
      </c>
      <c r="J227" s="45" t="s">
        <v>204</v>
      </c>
      <c r="K227" s="45">
        <v>0.6</v>
      </c>
      <c r="L227" s="45" t="s">
        <v>521</v>
      </c>
    </row>
    <row r="228">
      <c r="A228" s="45" t="s">
        <v>294</v>
      </c>
      <c r="B228" s="45" t="s">
        <v>531</v>
      </c>
      <c r="C228" s="45" t="s">
        <v>28</v>
      </c>
      <c r="D228" s="61">
        <v>0.2</v>
      </c>
      <c r="E228" s="61">
        <v>1.0</v>
      </c>
      <c r="F228" s="61">
        <v>1.0</v>
      </c>
      <c r="G228" s="61">
        <v>11.0</v>
      </c>
      <c r="I228" s="45" t="s">
        <v>356</v>
      </c>
      <c r="J228" s="45" t="s">
        <v>163</v>
      </c>
      <c r="K228" s="45">
        <v>0.5</v>
      </c>
      <c r="L228" s="45" t="s">
        <v>534</v>
      </c>
    </row>
    <row r="229">
      <c r="A229" s="45" t="s">
        <v>299</v>
      </c>
      <c r="B229" s="45" t="s">
        <v>520</v>
      </c>
      <c r="C229" s="45" t="s">
        <v>53</v>
      </c>
      <c r="D229" s="61">
        <v>0.2</v>
      </c>
      <c r="E229" s="61">
        <v>1.0</v>
      </c>
      <c r="F229" s="61">
        <v>3.0</v>
      </c>
      <c r="G229" s="61">
        <v>1.0</v>
      </c>
      <c r="I229" s="45" t="s">
        <v>356</v>
      </c>
      <c r="J229" s="45" t="s">
        <v>158</v>
      </c>
      <c r="K229" s="45">
        <v>3.0</v>
      </c>
      <c r="L229" s="45" t="s">
        <v>534</v>
      </c>
    </row>
    <row r="230">
      <c r="A230" s="45" t="s">
        <v>299</v>
      </c>
      <c r="B230" s="45" t="s">
        <v>290</v>
      </c>
      <c r="C230" s="45" t="s">
        <v>237</v>
      </c>
      <c r="D230" s="61">
        <v>0.2</v>
      </c>
      <c r="E230" s="61">
        <v>1.0</v>
      </c>
      <c r="F230" s="61">
        <v>2.0</v>
      </c>
      <c r="G230" s="61">
        <v>2.0</v>
      </c>
      <c r="I230" s="45" t="s">
        <v>361</v>
      </c>
      <c r="J230" s="45" t="s">
        <v>331</v>
      </c>
      <c r="K230" s="61">
        <v>1.0</v>
      </c>
      <c r="L230" s="45" t="s">
        <v>521</v>
      </c>
    </row>
    <row r="231">
      <c r="A231" s="45" t="s">
        <v>299</v>
      </c>
      <c r="B231" s="45" t="s">
        <v>300</v>
      </c>
      <c r="C231" s="45" t="s">
        <v>159</v>
      </c>
      <c r="D231" s="61">
        <v>0.2</v>
      </c>
      <c r="E231" s="61">
        <v>1.0</v>
      </c>
      <c r="F231" s="61">
        <v>2.0</v>
      </c>
      <c r="G231" s="61">
        <v>3.0</v>
      </c>
      <c r="I231" s="45" t="s">
        <v>361</v>
      </c>
      <c r="J231" s="45" t="s">
        <v>195</v>
      </c>
      <c r="K231" s="61">
        <v>1.0</v>
      </c>
      <c r="L231" s="45" t="s">
        <v>521</v>
      </c>
    </row>
    <row r="232">
      <c r="A232" s="45" t="s">
        <v>299</v>
      </c>
      <c r="B232" s="45" t="s">
        <v>583</v>
      </c>
      <c r="C232" s="45" t="s">
        <v>207</v>
      </c>
      <c r="D232" s="61">
        <v>0.25</v>
      </c>
      <c r="E232" s="61">
        <v>1.0</v>
      </c>
      <c r="F232" s="61">
        <v>2.0</v>
      </c>
      <c r="G232" s="61">
        <v>4.0</v>
      </c>
      <c r="I232" s="45" t="s">
        <v>361</v>
      </c>
      <c r="J232" s="45" t="s">
        <v>286</v>
      </c>
      <c r="K232" s="61">
        <v>1.0</v>
      </c>
      <c r="L232" s="45" t="s">
        <v>521</v>
      </c>
    </row>
    <row r="233">
      <c r="A233" s="45" t="s">
        <v>299</v>
      </c>
      <c r="B233" s="45" t="s">
        <v>600</v>
      </c>
      <c r="C233" s="45" t="s">
        <v>145</v>
      </c>
      <c r="D233" s="61">
        <v>0.5</v>
      </c>
      <c r="E233" s="61">
        <v>1.0</v>
      </c>
      <c r="F233" s="61">
        <v>2.0</v>
      </c>
      <c r="G233" s="61">
        <v>5.0</v>
      </c>
      <c r="I233" s="45" t="s">
        <v>361</v>
      </c>
      <c r="J233" s="45" t="s">
        <v>255</v>
      </c>
      <c r="K233" s="61">
        <v>1.0</v>
      </c>
      <c r="L233" s="45" t="s">
        <v>521</v>
      </c>
    </row>
    <row r="234">
      <c r="A234" s="45" t="s">
        <v>299</v>
      </c>
      <c r="B234" s="45" t="s">
        <v>584</v>
      </c>
      <c r="C234" s="45" t="s">
        <v>237</v>
      </c>
      <c r="D234" s="61">
        <v>0.25</v>
      </c>
      <c r="E234" s="61">
        <v>1.0</v>
      </c>
      <c r="F234" s="61">
        <v>2.0</v>
      </c>
      <c r="G234" s="61">
        <v>6.0</v>
      </c>
      <c r="I234" s="45" t="s">
        <v>361</v>
      </c>
      <c r="J234" s="45" t="s">
        <v>163</v>
      </c>
      <c r="K234" s="61">
        <v>2.0</v>
      </c>
      <c r="L234" s="45" t="s">
        <v>534</v>
      </c>
    </row>
    <row r="235">
      <c r="A235" s="45" t="s">
        <v>299</v>
      </c>
      <c r="B235" s="45" t="s">
        <v>587</v>
      </c>
      <c r="C235" s="45" t="s">
        <v>152</v>
      </c>
      <c r="D235" s="61">
        <v>0.5</v>
      </c>
      <c r="E235" s="61">
        <v>1.0</v>
      </c>
      <c r="F235" s="61">
        <v>1.0</v>
      </c>
      <c r="G235" s="61">
        <v>7.0</v>
      </c>
      <c r="I235" s="45" t="s">
        <v>361</v>
      </c>
      <c r="J235" s="45" t="s">
        <v>158</v>
      </c>
      <c r="K235" s="61">
        <v>1.0</v>
      </c>
      <c r="L235" s="45" t="s">
        <v>534</v>
      </c>
    </row>
    <row r="236">
      <c r="A236" s="45" t="s">
        <v>299</v>
      </c>
      <c r="B236" s="45" t="s">
        <v>565</v>
      </c>
      <c r="C236" s="45" t="s">
        <v>80</v>
      </c>
      <c r="D236" s="61">
        <v>0.2</v>
      </c>
      <c r="E236" s="61">
        <v>1.0</v>
      </c>
      <c r="F236" s="61">
        <v>1.0</v>
      </c>
      <c r="G236" s="61">
        <v>8.0</v>
      </c>
      <c r="I236" s="45" t="s">
        <v>368</v>
      </c>
      <c r="J236" s="45" t="s">
        <v>331</v>
      </c>
      <c r="K236" s="61">
        <v>1.0</v>
      </c>
      <c r="L236" s="45" t="s">
        <v>521</v>
      </c>
    </row>
    <row r="237">
      <c r="A237" s="45" t="s">
        <v>299</v>
      </c>
      <c r="B237" s="45" t="s">
        <v>580</v>
      </c>
      <c r="C237" s="45" t="s">
        <v>80</v>
      </c>
      <c r="D237" s="61">
        <v>0.1</v>
      </c>
      <c r="E237" s="61">
        <v>1.0</v>
      </c>
      <c r="F237" s="61">
        <v>1.0</v>
      </c>
      <c r="G237" s="61">
        <v>9.0</v>
      </c>
      <c r="I237" s="45" t="s">
        <v>368</v>
      </c>
      <c r="J237" s="45" t="s">
        <v>417</v>
      </c>
      <c r="K237" s="61">
        <v>1.0</v>
      </c>
      <c r="L237" s="45" t="s">
        <v>521</v>
      </c>
    </row>
    <row r="238">
      <c r="A238" s="45" t="s">
        <v>299</v>
      </c>
      <c r="B238" s="45" t="s">
        <v>581</v>
      </c>
      <c r="C238" s="45" t="s">
        <v>80</v>
      </c>
      <c r="D238" s="61">
        <v>0.2</v>
      </c>
      <c r="E238" s="61">
        <v>1.0</v>
      </c>
      <c r="F238" s="61">
        <v>1.0</v>
      </c>
      <c r="G238" s="61">
        <v>10.0</v>
      </c>
      <c r="I238" s="45" t="s">
        <v>368</v>
      </c>
      <c r="J238" s="45" t="s">
        <v>422</v>
      </c>
      <c r="K238" s="61">
        <v>1.0</v>
      </c>
      <c r="L238" s="45" t="s">
        <v>521</v>
      </c>
    </row>
    <row r="239">
      <c r="A239" s="45" t="s">
        <v>299</v>
      </c>
      <c r="B239" s="45" t="s">
        <v>596</v>
      </c>
      <c r="C239" s="45" t="s">
        <v>28</v>
      </c>
      <c r="D239" s="61">
        <v>0.2</v>
      </c>
      <c r="E239" s="61">
        <v>1.0</v>
      </c>
      <c r="F239" s="61">
        <v>1.0</v>
      </c>
      <c r="G239" s="61">
        <v>11.0</v>
      </c>
      <c r="I239" s="45" t="s">
        <v>368</v>
      </c>
      <c r="J239" s="45" t="s">
        <v>371</v>
      </c>
      <c r="K239" s="61">
        <v>1.0</v>
      </c>
      <c r="L239" s="45" t="s">
        <v>521</v>
      </c>
    </row>
    <row r="240">
      <c r="A240" s="45" t="s">
        <v>299</v>
      </c>
      <c r="B240" s="45" t="s">
        <v>531</v>
      </c>
      <c r="C240" s="45" t="s">
        <v>28</v>
      </c>
      <c r="D240" s="61">
        <f>1/6</f>
        <v>0.1666666667</v>
      </c>
      <c r="E240" s="61">
        <v>1.0</v>
      </c>
      <c r="F240" s="61">
        <v>1.0</v>
      </c>
      <c r="G240" s="61">
        <v>12.0</v>
      </c>
      <c r="I240" s="45" t="s">
        <v>368</v>
      </c>
      <c r="J240" s="45" t="s">
        <v>224</v>
      </c>
      <c r="K240" s="61">
        <v>0.5</v>
      </c>
      <c r="L240" s="45" t="s">
        <v>521</v>
      </c>
    </row>
    <row r="241">
      <c r="A241" s="45" t="s">
        <v>305</v>
      </c>
      <c r="B241" s="45" t="s">
        <v>520</v>
      </c>
      <c r="C241" s="45" t="s">
        <v>53</v>
      </c>
      <c r="D241" s="61">
        <v>0.2</v>
      </c>
      <c r="E241" s="61">
        <v>1.0</v>
      </c>
      <c r="F241" s="61">
        <v>3.0</v>
      </c>
      <c r="G241" s="61">
        <v>1.0</v>
      </c>
      <c r="I241" s="45" t="s">
        <v>368</v>
      </c>
      <c r="J241" s="45" t="s">
        <v>135</v>
      </c>
      <c r="K241" s="61">
        <v>0.5</v>
      </c>
      <c r="L241" s="45" t="s">
        <v>521</v>
      </c>
    </row>
    <row r="242">
      <c r="A242" s="45" t="s">
        <v>305</v>
      </c>
      <c r="B242" s="45" t="s">
        <v>582</v>
      </c>
      <c r="C242" s="45" t="s">
        <v>207</v>
      </c>
      <c r="D242" s="61">
        <v>0.5</v>
      </c>
      <c r="E242" s="61">
        <v>1.0</v>
      </c>
      <c r="F242" s="61">
        <v>2.0</v>
      </c>
      <c r="G242" s="61">
        <v>2.0</v>
      </c>
      <c r="I242" s="45" t="s">
        <v>368</v>
      </c>
      <c r="J242" s="45" t="s">
        <v>163</v>
      </c>
      <c r="K242" s="45">
        <v>1.0</v>
      </c>
      <c r="L242" s="45" t="s">
        <v>534</v>
      </c>
    </row>
    <row r="243">
      <c r="A243" s="45" t="s">
        <v>305</v>
      </c>
      <c r="B243" s="45" t="s">
        <v>583</v>
      </c>
      <c r="C243" s="45" t="s">
        <v>207</v>
      </c>
      <c r="D243" s="61">
        <v>0.5</v>
      </c>
      <c r="E243" s="61">
        <v>1.0</v>
      </c>
      <c r="F243" s="61">
        <v>2.0</v>
      </c>
      <c r="G243" s="61">
        <v>3.0</v>
      </c>
      <c r="I243" s="45" t="s">
        <v>368</v>
      </c>
      <c r="J243" s="45" t="s">
        <v>158</v>
      </c>
      <c r="K243" s="61">
        <v>1.0</v>
      </c>
      <c r="L243" s="45" t="s">
        <v>534</v>
      </c>
    </row>
    <row r="244">
      <c r="A244" s="45" t="s">
        <v>305</v>
      </c>
      <c r="B244" s="45" t="s">
        <v>600</v>
      </c>
      <c r="C244" s="45" t="s">
        <v>145</v>
      </c>
      <c r="D244" s="61">
        <v>0.5</v>
      </c>
      <c r="E244" s="61">
        <v>1.0</v>
      </c>
      <c r="F244" s="61">
        <v>2.0</v>
      </c>
      <c r="G244" s="61">
        <v>4.0</v>
      </c>
      <c r="I244" s="45" t="s">
        <v>375</v>
      </c>
      <c r="J244" s="45" t="s">
        <v>379</v>
      </c>
      <c r="K244" s="61">
        <v>1.0</v>
      </c>
      <c r="L244" s="45" t="s">
        <v>521</v>
      </c>
    </row>
    <row r="245">
      <c r="A245" s="45" t="s">
        <v>305</v>
      </c>
      <c r="B245" s="45" t="s">
        <v>584</v>
      </c>
      <c r="C245" s="45" t="s">
        <v>237</v>
      </c>
      <c r="D245" s="61">
        <f>1/3</f>
        <v>0.3333333333</v>
      </c>
      <c r="E245" s="61">
        <v>1.0</v>
      </c>
      <c r="F245" s="61">
        <v>2.0</v>
      </c>
      <c r="G245" s="61">
        <v>5.0</v>
      </c>
      <c r="I245" s="45" t="s">
        <v>375</v>
      </c>
      <c r="J245" s="45" t="s">
        <v>331</v>
      </c>
      <c r="K245" s="61">
        <v>1.0</v>
      </c>
      <c r="L245" s="45" t="s">
        <v>521</v>
      </c>
    </row>
    <row r="246">
      <c r="A246" s="45" t="s">
        <v>305</v>
      </c>
      <c r="B246" s="45" t="s">
        <v>533</v>
      </c>
      <c r="C246" s="45" t="s">
        <v>198</v>
      </c>
      <c r="D246" s="61">
        <v>0.2</v>
      </c>
      <c r="E246" s="61">
        <v>1.0</v>
      </c>
      <c r="F246" s="61">
        <v>2.0</v>
      </c>
      <c r="G246" s="61">
        <v>6.0</v>
      </c>
      <c r="I246" s="45" t="s">
        <v>375</v>
      </c>
      <c r="J246" s="45" t="s">
        <v>438</v>
      </c>
      <c r="K246" s="61">
        <v>0.5</v>
      </c>
      <c r="L246" s="45" t="s">
        <v>521</v>
      </c>
    </row>
    <row r="247">
      <c r="A247" s="45" t="s">
        <v>305</v>
      </c>
      <c r="B247" s="45" t="s">
        <v>535</v>
      </c>
      <c r="C247" s="45" t="s">
        <v>227</v>
      </c>
      <c r="D247" s="61">
        <v>0.25</v>
      </c>
      <c r="E247" s="61">
        <v>1.0</v>
      </c>
      <c r="F247" s="61">
        <v>2.0</v>
      </c>
      <c r="G247" s="61">
        <v>7.0</v>
      </c>
      <c r="I247" s="45" t="s">
        <v>375</v>
      </c>
      <c r="J247" s="45" t="s">
        <v>160</v>
      </c>
      <c r="K247" s="45">
        <v>1.0</v>
      </c>
      <c r="L247" s="45" t="s">
        <v>534</v>
      </c>
    </row>
    <row r="248">
      <c r="A248" s="45" t="s">
        <v>305</v>
      </c>
      <c r="B248" s="45" t="s">
        <v>536</v>
      </c>
      <c r="C248" s="45" t="s">
        <v>207</v>
      </c>
      <c r="D248" s="61">
        <v>0.25</v>
      </c>
      <c r="E248" s="61">
        <v>1.0</v>
      </c>
      <c r="F248" s="61">
        <v>2.0</v>
      </c>
      <c r="G248" s="61">
        <v>8.0</v>
      </c>
      <c r="I248" s="45" t="s">
        <v>375</v>
      </c>
      <c r="J248" s="45" t="s">
        <v>158</v>
      </c>
      <c r="K248" s="61">
        <v>1.0</v>
      </c>
      <c r="L248" s="45" t="s">
        <v>534</v>
      </c>
    </row>
    <row r="249">
      <c r="A249" s="45" t="s">
        <v>305</v>
      </c>
      <c r="B249" s="45" t="s">
        <v>537</v>
      </c>
      <c r="C249" s="45" t="s">
        <v>142</v>
      </c>
      <c r="D249" s="61">
        <v>1.0</v>
      </c>
      <c r="E249" s="61">
        <v>1.0</v>
      </c>
      <c r="F249" s="61">
        <v>2.0</v>
      </c>
      <c r="G249" s="61">
        <v>9.0</v>
      </c>
    </row>
    <row r="250">
      <c r="A250" s="45" t="s">
        <v>305</v>
      </c>
      <c r="B250" s="45" t="s">
        <v>538</v>
      </c>
      <c r="C250" s="45" t="s">
        <v>152</v>
      </c>
      <c r="D250" s="61">
        <v>0.4</v>
      </c>
      <c r="E250" s="61">
        <v>1.0</v>
      </c>
      <c r="F250" s="61">
        <v>1.0</v>
      </c>
      <c r="G250" s="61">
        <v>10.0</v>
      </c>
    </row>
    <row r="251">
      <c r="A251" s="45" t="s">
        <v>305</v>
      </c>
      <c r="B251" s="45" t="s">
        <v>579</v>
      </c>
      <c r="C251" s="45" t="s">
        <v>152</v>
      </c>
      <c r="D251" s="61">
        <v>0.2</v>
      </c>
      <c r="E251" s="61">
        <v>1.0</v>
      </c>
      <c r="F251" s="61">
        <v>1.0</v>
      </c>
      <c r="G251" s="61">
        <v>11.0</v>
      </c>
    </row>
    <row r="252">
      <c r="A252" s="45" t="s">
        <v>305</v>
      </c>
      <c r="B252" s="45" t="s">
        <v>587</v>
      </c>
      <c r="C252" s="45" t="s">
        <v>152</v>
      </c>
      <c r="D252" s="61">
        <f>2/3</f>
        <v>0.6666666667</v>
      </c>
      <c r="E252" s="61">
        <v>1.0</v>
      </c>
      <c r="F252" s="61">
        <v>1.0</v>
      </c>
      <c r="G252" s="61">
        <v>12.0</v>
      </c>
    </row>
    <row r="253">
      <c r="A253" s="45" t="s">
        <v>305</v>
      </c>
      <c r="B253" s="45" t="s">
        <v>581</v>
      </c>
      <c r="C253" s="45" t="s">
        <v>80</v>
      </c>
      <c r="D253" s="61">
        <v>0.2</v>
      </c>
      <c r="E253" s="61">
        <v>1.0</v>
      </c>
      <c r="F253" s="61">
        <v>1.0</v>
      </c>
      <c r="G253" s="61">
        <v>13.0</v>
      </c>
    </row>
    <row r="254">
      <c r="A254" s="45" t="s">
        <v>305</v>
      </c>
      <c r="B254" s="45" t="s">
        <v>531</v>
      </c>
      <c r="C254" s="45" t="s">
        <v>28</v>
      </c>
      <c r="D254" s="61">
        <f>1/6</f>
        <v>0.1666666667</v>
      </c>
      <c r="E254" s="61">
        <v>1.0</v>
      </c>
      <c r="F254" s="61">
        <v>1.0</v>
      </c>
      <c r="G254" s="61">
        <v>14.0</v>
      </c>
    </row>
    <row r="255">
      <c r="A255" s="45" t="s">
        <v>311</v>
      </c>
      <c r="B255" s="45" t="s">
        <v>520</v>
      </c>
      <c r="C255" s="45" t="s">
        <v>53</v>
      </c>
      <c r="D255" s="45">
        <v>0.2</v>
      </c>
      <c r="E255" s="45">
        <v>1.0</v>
      </c>
      <c r="F255" s="45">
        <v>3.0</v>
      </c>
      <c r="G255" s="45">
        <v>1.0</v>
      </c>
    </row>
    <row r="256">
      <c r="A256" s="45" t="s">
        <v>311</v>
      </c>
      <c r="B256" s="45" t="s">
        <v>238</v>
      </c>
      <c r="C256" s="45" t="s">
        <v>237</v>
      </c>
      <c r="D256" s="45">
        <v>0.2</v>
      </c>
      <c r="E256" s="45">
        <v>1.0</v>
      </c>
      <c r="F256" s="45">
        <v>2.0</v>
      </c>
      <c r="G256" s="45">
        <v>2.0</v>
      </c>
    </row>
    <row r="257">
      <c r="A257" s="45" t="s">
        <v>311</v>
      </c>
      <c r="B257" s="45" t="s">
        <v>600</v>
      </c>
      <c r="C257" s="45" t="s">
        <v>145</v>
      </c>
      <c r="D257" s="45">
        <v>0.5</v>
      </c>
      <c r="E257" s="45">
        <v>1.0</v>
      </c>
      <c r="F257" s="45">
        <v>2.0</v>
      </c>
      <c r="G257" s="45">
        <v>3.0</v>
      </c>
    </row>
    <row r="258">
      <c r="A258" s="45" t="s">
        <v>311</v>
      </c>
      <c r="B258" s="45" t="s">
        <v>584</v>
      </c>
      <c r="C258" s="45" t="s">
        <v>237</v>
      </c>
      <c r="D258" s="45">
        <v>0.5</v>
      </c>
      <c r="E258" s="45">
        <v>1.0</v>
      </c>
      <c r="F258" s="45">
        <v>2.0</v>
      </c>
      <c r="G258" s="45">
        <v>4.0</v>
      </c>
    </row>
    <row r="259">
      <c r="A259" s="45" t="s">
        <v>311</v>
      </c>
      <c r="B259" s="45" t="s">
        <v>602</v>
      </c>
      <c r="C259" s="45" t="s">
        <v>142</v>
      </c>
      <c r="D259" s="45">
        <v>0.5</v>
      </c>
      <c r="E259" s="45">
        <v>1.0</v>
      </c>
      <c r="F259" s="45">
        <v>2.0</v>
      </c>
      <c r="G259" s="45">
        <v>5.0</v>
      </c>
    </row>
    <row r="260">
      <c r="A260" s="45" t="s">
        <v>311</v>
      </c>
      <c r="B260" s="45" t="s">
        <v>577</v>
      </c>
      <c r="C260" s="45" t="s">
        <v>91</v>
      </c>
      <c r="D260" s="45">
        <v>0.2</v>
      </c>
      <c r="E260" s="45">
        <v>1.0</v>
      </c>
      <c r="F260" s="45">
        <v>1.0</v>
      </c>
      <c r="G260" s="45">
        <v>6.0</v>
      </c>
    </row>
    <row r="261">
      <c r="A261" s="45" t="s">
        <v>311</v>
      </c>
      <c r="B261" s="45" t="s">
        <v>578</v>
      </c>
      <c r="C261" s="45" t="s">
        <v>207</v>
      </c>
      <c r="D261" s="45">
        <v>0.25</v>
      </c>
      <c r="E261" s="45">
        <v>1.0</v>
      </c>
      <c r="F261" s="45">
        <v>2.0</v>
      </c>
      <c r="G261" s="45">
        <v>7.0</v>
      </c>
    </row>
    <row r="262">
      <c r="A262" s="45" t="s">
        <v>311</v>
      </c>
      <c r="B262" s="45" t="s">
        <v>537</v>
      </c>
      <c r="C262" s="45" t="s">
        <v>142</v>
      </c>
      <c r="D262" s="45">
        <v>0.5</v>
      </c>
      <c r="E262" s="45">
        <v>1.0</v>
      </c>
      <c r="F262" s="45">
        <v>2.0</v>
      </c>
      <c r="G262" s="45">
        <v>8.0</v>
      </c>
    </row>
    <row r="263">
      <c r="A263" s="45" t="s">
        <v>311</v>
      </c>
      <c r="B263" s="45" t="s">
        <v>591</v>
      </c>
      <c r="C263" s="45" t="s">
        <v>142</v>
      </c>
      <c r="D263" s="45">
        <v>1.0</v>
      </c>
      <c r="E263" s="45">
        <v>1.0</v>
      </c>
      <c r="F263" s="45">
        <v>2.0</v>
      </c>
      <c r="G263" s="45">
        <v>9.0</v>
      </c>
    </row>
    <row r="264">
      <c r="A264" s="45" t="s">
        <v>311</v>
      </c>
      <c r="B264" s="45" t="s">
        <v>538</v>
      </c>
      <c r="C264" s="45" t="s">
        <v>152</v>
      </c>
      <c r="D264" s="45">
        <v>0.2</v>
      </c>
      <c r="E264" s="45">
        <v>1.0</v>
      </c>
      <c r="F264" s="45">
        <v>1.0</v>
      </c>
      <c r="G264" s="45">
        <v>10.0</v>
      </c>
    </row>
    <row r="265">
      <c r="A265" s="45" t="s">
        <v>311</v>
      </c>
      <c r="B265" s="45" t="s">
        <v>579</v>
      </c>
      <c r="C265" s="45" t="s">
        <v>152</v>
      </c>
      <c r="D265" s="45">
        <v>0.2</v>
      </c>
      <c r="E265" s="45">
        <v>1.0</v>
      </c>
      <c r="F265" s="45">
        <v>1.0</v>
      </c>
      <c r="G265" s="45">
        <v>11.0</v>
      </c>
    </row>
    <row r="266">
      <c r="A266" s="45" t="s">
        <v>311</v>
      </c>
      <c r="B266" s="45" t="s">
        <v>587</v>
      </c>
      <c r="C266" s="45" t="s">
        <v>152</v>
      </c>
      <c r="D266" s="45">
        <v>1.0</v>
      </c>
      <c r="E266" s="45">
        <v>1.0</v>
      </c>
      <c r="F266" s="45">
        <v>1.0</v>
      </c>
      <c r="G266" s="45">
        <v>12.0</v>
      </c>
    </row>
    <row r="267">
      <c r="A267" s="45" t="s">
        <v>311</v>
      </c>
      <c r="B267" s="45" t="s">
        <v>593</v>
      </c>
      <c r="C267" s="45" t="s">
        <v>80</v>
      </c>
      <c r="D267" s="45">
        <v>0.2</v>
      </c>
      <c r="E267" s="45">
        <v>1.0</v>
      </c>
      <c r="F267" s="45">
        <v>1.0</v>
      </c>
      <c r="G267" s="45">
        <v>13.0</v>
      </c>
    </row>
    <row r="268">
      <c r="A268" s="45" t="s">
        <v>311</v>
      </c>
      <c r="B268" s="45" t="s">
        <v>531</v>
      </c>
      <c r="C268" s="45" t="s">
        <v>28</v>
      </c>
      <c r="D268" s="45">
        <v>1.0</v>
      </c>
      <c r="E268" s="45">
        <v>1.0</v>
      </c>
      <c r="F268" s="45">
        <v>1.0</v>
      </c>
      <c r="G268" s="45">
        <v>14.0</v>
      </c>
    </row>
    <row r="269">
      <c r="A269" s="45" t="s">
        <v>316</v>
      </c>
      <c r="B269" s="45" t="s">
        <v>520</v>
      </c>
      <c r="C269" s="45" t="s">
        <v>53</v>
      </c>
      <c r="D269" s="61">
        <v>0.2</v>
      </c>
      <c r="E269" s="61">
        <v>1.0</v>
      </c>
      <c r="F269" s="61">
        <v>3.0</v>
      </c>
      <c r="G269" s="61">
        <v>1.0</v>
      </c>
    </row>
    <row r="270">
      <c r="A270" s="45" t="s">
        <v>316</v>
      </c>
      <c r="B270" s="45" t="s">
        <v>290</v>
      </c>
      <c r="C270" s="45" t="s">
        <v>237</v>
      </c>
      <c r="D270" s="61">
        <v>0.2</v>
      </c>
      <c r="E270" s="61">
        <v>1.0</v>
      </c>
      <c r="F270" s="61">
        <v>2.0</v>
      </c>
      <c r="G270" s="61">
        <v>2.0</v>
      </c>
    </row>
    <row r="271">
      <c r="A271" s="45" t="s">
        <v>316</v>
      </c>
      <c r="B271" s="45" t="s">
        <v>583</v>
      </c>
      <c r="C271" s="45" t="s">
        <v>207</v>
      </c>
      <c r="D271" s="61">
        <v>0.25</v>
      </c>
      <c r="E271" s="61">
        <v>1.0</v>
      </c>
      <c r="F271" s="61">
        <v>2.0</v>
      </c>
      <c r="G271" s="61">
        <v>3.0</v>
      </c>
    </row>
    <row r="272">
      <c r="A272" s="45" t="s">
        <v>316</v>
      </c>
      <c r="B272" s="45" t="s">
        <v>584</v>
      </c>
      <c r="C272" s="45" t="s">
        <v>237</v>
      </c>
      <c r="D272" s="61">
        <v>0.5</v>
      </c>
      <c r="E272" s="61">
        <v>1.0</v>
      </c>
      <c r="F272" s="61">
        <v>2.0</v>
      </c>
      <c r="G272" s="61">
        <v>4.0</v>
      </c>
    </row>
    <row r="273">
      <c r="A273" s="45" t="s">
        <v>316</v>
      </c>
      <c r="B273" s="45" t="s">
        <v>587</v>
      </c>
      <c r="C273" s="45" t="s">
        <v>152</v>
      </c>
      <c r="D273" s="61">
        <v>1.0</v>
      </c>
      <c r="E273" s="61">
        <v>1.0</v>
      </c>
      <c r="F273" s="61">
        <v>1.0</v>
      </c>
      <c r="G273" s="61">
        <v>5.0</v>
      </c>
    </row>
    <row r="274">
      <c r="A274" s="45" t="s">
        <v>316</v>
      </c>
      <c r="B274" s="45" t="s">
        <v>543</v>
      </c>
      <c r="C274" s="45" t="s">
        <v>152</v>
      </c>
      <c r="D274" s="61">
        <v>0.2</v>
      </c>
      <c r="E274" s="61">
        <v>1.0</v>
      </c>
      <c r="F274" s="61">
        <v>1.0</v>
      </c>
      <c r="G274" s="61">
        <v>6.0</v>
      </c>
    </row>
    <row r="275">
      <c r="A275" s="45" t="s">
        <v>316</v>
      </c>
      <c r="B275" s="45" t="s">
        <v>565</v>
      </c>
      <c r="C275" s="45" t="s">
        <v>80</v>
      </c>
      <c r="D275" s="61">
        <v>0.2</v>
      </c>
      <c r="E275" s="61">
        <v>1.0</v>
      </c>
      <c r="F275" s="61">
        <v>1.0</v>
      </c>
      <c r="G275" s="61">
        <v>7.0</v>
      </c>
    </row>
    <row r="276">
      <c r="A276" s="45" t="s">
        <v>316</v>
      </c>
      <c r="B276" s="45" t="s">
        <v>580</v>
      </c>
      <c r="C276" s="45" t="s">
        <v>80</v>
      </c>
      <c r="D276" s="61">
        <v>0.2</v>
      </c>
      <c r="E276" s="61">
        <v>1.0</v>
      </c>
      <c r="F276" s="61">
        <v>1.0</v>
      </c>
      <c r="G276" s="61">
        <v>8.0</v>
      </c>
    </row>
    <row r="277">
      <c r="A277" s="45" t="s">
        <v>316</v>
      </c>
      <c r="B277" s="45" t="s">
        <v>605</v>
      </c>
      <c r="C277" s="45" t="s">
        <v>80</v>
      </c>
      <c r="D277" s="61">
        <v>0.2</v>
      </c>
      <c r="E277" s="61">
        <v>1.0</v>
      </c>
      <c r="F277" s="61">
        <v>1.0</v>
      </c>
      <c r="G277" s="61">
        <v>9.0</v>
      </c>
    </row>
    <row r="278">
      <c r="A278" s="45" t="s">
        <v>316</v>
      </c>
      <c r="B278" s="45" t="s">
        <v>596</v>
      </c>
      <c r="C278" s="45" t="s">
        <v>28</v>
      </c>
      <c r="D278" s="61">
        <v>0.1</v>
      </c>
      <c r="E278" s="61">
        <v>1.0</v>
      </c>
      <c r="F278" s="61">
        <v>1.0</v>
      </c>
      <c r="G278" s="61">
        <v>10.0</v>
      </c>
    </row>
    <row r="279">
      <c r="A279" s="45" t="s">
        <v>316</v>
      </c>
      <c r="B279" s="45" t="s">
        <v>531</v>
      </c>
      <c r="C279" s="45" t="s">
        <v>28</v>
      </c>
      <c r="D279" s="61">
        <v>0.2</v>
      </c>
      <c r="E279" s="61">
        <v>1.0</v>
      </c>
      <c r="F279" s="61">
        <v>1.0</v>
      </c>
      <c r="G279" s="61">
        <v>11.0</v>
      </c>
    </row>
    <row r="280">
      <c r="A280" s="45" t="s">
        <v>323</v>
      </c>
      <c r="B280" s="45" t="s">
        <v>520</v>
      </c>
      <c r="C280" s="45" t="s">
        <v>53</v>
      </c>
      <c r="D280" s="61">
        <v>0.2</v>
      </c>
      <c r="E280" s="61">
        <v>1.0</v>
      </c>
      <c r="F280" s="61">
        <v>3.0</v>
      </c>
      <c r="G280" s="61">
        <v>1.0</v>
      </c>
    </row>
    <row r="281">
      <c r="A281" s="45" t="s">
        <v>323</v>
      </c>
      <c r="B281" s="45" t="s">
        <v>300</v>
      </c>
      <c r="C281" s="45" t="s">
        <v>159</v>
      </c>
      <c r="D281" s="61">
        <v>0.2</v>
      </c>
      <c r="E281" s="61">
        <v>1.0</v>
      </c>
      <c r="F281" s="61">
        <v>2.0</v>
      </c>
      <c r="G281" s="61">
        <v>2.0</v>
      </c>
    </row>
    <row r="282">
      <c r="A282" s="45" t="s">
        <v>323</v>
      </c>
      <c r="B282" s="45" t="s">
        <v>325</v>
      </c>
      <c r="C282" s="45" t="s">
        <v>159</v>
      </c>
      <c r="D282" s="61">
        <v>0.2</v>
      </c>
      <c r="E282" s="61">
        <v>1.0</v>
      </c>
      <c r="F282" s="61">
        <v>2.0</v>
      </c>
      <c r="G282" s="61">
        <v>3.0</v>
      </c>
    </row>
    <row r="283">
      <c r="A283" s="45" t="s">
        <v>323</v>
      </c>
      <c r="B283" s="45" t="s">
        <v>606</v>
      </c>
      <c r="C283" s="45" t="s">
        <v>80</v>
      </c>
      <c r="D283" s="61">
        <v>0.2</v>
      </c>
      <c r="E283" s="61">
        <v>1.0</v>
      </c>
      <c r="F283" s="61">
        <v>1.0</v>
      </c>
      <c r="G283" s="61">
        <v>4.0</v>
      </c>
    </row>
    <row r="284">
      <c r="A284" s="45" t="s">
        <v>323</v>
      </c>
      <c r="B284" s="45" t="s">
        <v>580</v>
      </c>
      <c r="C284" s="45" t="s">
        <v>80</v>
      </c>
      <c r="D284" s="61">
        <v>0.2</v>
      </c>
      <c r="E284" s="61">
        <v>1.0</v>
      </c>
      <c r="F284" s="61">
        <v>1.0</v>
      </c>
      <c r="G284" s="61">
        <v>5.0</v>
      </c>
    </row>
    <row r="285">
      <c r="A285" s="45" t="s">
        <v>323</v>
      </c>
      <c r="B285" s="45" t="s">
        <v>596</v>
      </c>
      <c r="C285" s="45" t="s">
        <v>28</v>
      </c>
      <c r="D285" s="61">
        <v>0.2</v>
      </c>
      <c r="E285" s="61">
        <v>1.0</v>
      </c>
      <c r="F285" s="61">
        <v>1.0</v>
      </c>
      <c r="G285" s="61">
        <v>6.0</v>
      </c>
    </row>
    <row r="286">
      <c r="A286" s="45" t="s">
        <v>329</v>
      </c>
      <c r="B286" s="45" t="s">
        <v>520</v>
      </c>
      <c r="C286" s="45" t="s">
        <v>53</v>
      </c>
      <c r="D286" s="61">
        <v>0.2</v>
      </c>
      <c r="E286" s="61">
        <v>1.0</v>
      </c>
      <c r="F286" s="61">
        <v>3.0</v>
      </c>
      <c r="G286" s="61">
        <v>1.0</v>
      </c>
    </row>
    <row r="287">
      <c r="A287" s="45" t="s">
        <v>329</v>
      </c>
      <c r="B287" s="45" t="s">
        <v>607</v>
      </c>
      <c r="C287" s="45" t="s">
        <v>237</v>
      </c>
      <c r="D287" s="61">
        <v>0.2</v>
      </c>
      <c r="E287" s="61">
        <v>1.0</v>
      </c>
      <c r="F287" s="61">
        <v>2.0</v>
      </c>
      <c r="G287" s="61">
        <v>2.0</v>
      </c>
    </row>
    <row r="288">
      <c r="A288" s="45" t="s">
        <v>329</v>
      </c>
      <c r="B288" s="45" t="s">
        <v>600</v>
      </c>
      <c r="C288" s="45" t="s">
        <v>145</v>
      </c>
      <c r="D288" s="61">
        <v>0.5</v>
      </c>
      <c r="E288" s="61">
        <v>1.0</v>
      </c>
      <c r="F288" s="61">
        <v>2.0</v>
      </c>
      <c r="G288" s="61">
        <v>3.0</v>
      </c>
    </row>
    <row r="289">
      <c r="A289" s="45" t="s">
        <v>329</v>
      </c>
      <c r="B289" s="45" t="s">
        <v>584</v>
      </c>
      <c r="C289" s="45" t="s">
        <v>237</v>
      </c>
      <c r="D289" s="61">
        <v>0.5</v>
      </c>
      <c r="E289" s="61">
        <v>1.0</v>
      </c>
      <c r="F289" s="61">
        <v>2.0</v>
      </c>
      <c r="G289" s="61">
        <v>4.0</v>
      </c>
    </row>
    <row r="290">
      <c r="A290" s="45" t="s">
        <v>329</v>
      </c>
      <c r="B290" s="45" t="s">
        <v>602</v>
      </c>
      <c r="C290" s="45" t="s">
        <v>142</v>
      </c>
      <c r="D290" s="61">
        <v>1.0</v>
      </c>
      <c r="E290" s="61">
        <v>1.0</v>
      </c>
      <c r="F290" s="61">
        <v>2.0</v>
      </c>
      <c r="G290" s="61">
        <v>5.0</v>
      </c>
    </row>
    <row r="291">
      <c r="A291" s="45" t="s">
        <v>329</v>
      </c>
      <c r="B291" s="45" t="s">
        <v>577</v>
      </c>
      <c r="C291" s="45" t="s">
        <v>91</v>
      </c>
      <c r="D291" s="61">
        <v>0.2</v>
      </c>
      <c r="E291" s="61">
        <v>1.0</v>
      </c>
      <c r="F291" s="61">
        <v>1.0</v>
      </c>
      <c r="G291" s="61">
        <v>6.0</v>
      </c>
    </row>
    <row r="292">
      <c r="A292" s="45" t="s">
        <v>329</v>
      </c>
      <c r="B292" s="45" t="s">
        <v>578</v>
      </c>
      <c r="C292" s="45" t="s">
        <v>207</v>
      </c>
      <c r="D292" s="61">
        <v>0.25</v>
      </c>
      <c r="E292" s="61">
        <v>1.0</v>
      </c>
      <c r="F292" s="61">
        <v>2.0</v>
      </c>
      <c r="G292" s="61">
        <v>7.0</v>
      </c>
    </row>
    <row r="293">
      <c r="A293" s="45" t="s">
        <v>329</v>
      </c>
      <c r="B293" s="45" t="s">
        <v>537</v>
      </c>
      <c r="C293" s="45" t="s">
        <v>142</v>
      </c>
      <c r="D293" s="61">
        <v>0.5</v>
      </c>
      <c r="E293" s="61">
        <v>1.0</v>
      </c>
      <c r="F293" s="61">
        <v>2.0</v>
      </c>
      <c r="G293" s="61">
        <v>8.0</v>
      </c>
    </row>
    <row r="294">
      <c r="A294" s="45" t="s">
        <v>329</v>
      </c>
      <c r="B294" s="45" t="s">
        <v>606</v>
      </c>
      <c r="C294" s="45" t="s">
        <v>80</v>
      </c>
      <c r="D294" s="61">
        <v>0.2</v>
      </c>
      <c r="E294" s="61">
        <v>1.0</v>
      </c>
      <c r="F294" s="61">
        <v>1.0</v>
      </c>
      <c r="G294" s="61">
        <v>9.0</v>
      </c>
    </row>
    <row r="295">
      <c r="A295" s="45" t="s">
        <v>329</v>
      </c>
      <c r="B295" s="45" t="s">
        <v>531</v>
      </c>
      <c r="C295" s="45" t="s">
        <v>28</v>
      </c>
      <c r="D295" s="61">
        <v>1.0</v>
      </c>
      <c r="E295" s="61">
        <v>1.0</v>
      </c>
      <c r="F295" s="61">
        <v>1.0</v>
      </c>
      <c r="G295" s="61">
        <v>10.0</v>
      </c>
    </row>
    <row r="296">
      <c r="A296" s="45" t="s">
        <v>329</v>
      </c>
      <c r="B296" s="45" t="s">
        <v>538</v>
      </c>
      <c r="C296" s="45" t="s">
        <v>152</v>
      </c>
      <c r="D296" s="61">
        <v>0.2</v>
      </c>
      <c r="E296" s="61">
        <v>1.0</v>
      </c>
      <c r="F296" s="61">
        <v>1.0</v>
      </c>
      <c r="G296" s="61">
        <v>11.0</v>
      </c>
    </row>
    <row r="297">
      <c r="A297" s="45" t="s">
        <v>329</v>
      </c>
      <c r="B297" s="45" t="s">
        <v>579</v>
      </c>
      <c r="C297" s="45" t="s">
        <v>152</v>
      </c>
      <c r="D297" s="61">
        <v>0.2</v>
      </c>
      <c r="E297" s="61">
        <v>1.0</v>
      </c>
      <c r="F297" s="61">
        <v>1.0</v>
      </c>
      <c r="G297" s="61">
        <v>12.0</v>
      </c>
    </row>
    <row r="298">
      <c r="A298" s="45" t="s">
        <v>329</v>
      </c>
      <c r="B298" s="45" t="s">
        <v>587</v>
      </c>
      <c r="C298" s="45" t="s">
        <v>152</v>
      </c>
      <c r="D298" s="61">
        <v>1.0</v>
      </c>
      <c r="E298" s="61">
        <v>1.0</v>
      </c>
      <c r="F298" s="61">
        <v>1.0</v>
      </c>
      <c r="G298" s="61">
        <v>13.0</v>
      </c>
    </row>
    <row r="299">
      <c r="A299" s="45" t="s">
        <v>329</v>
      </c>
      <c r="B299" s="45" t="s">
        <v>591</v>
      </c>
      <c r="C299" s="45" t="s">
        <v>142</v>
      </c>
      <c r="D299" s="45">
        <v>1.0</v>
      </c>
      <c r="E299" s="45">
        <v>1.0</v>
      </c>
      <c r="F299" s="45">
        <v>2.0</v>
      </c>
      <c r="G299" s="45">
        <v>14.0</v>
      </c>
    </row>
    <row r="300">
      <c r="A300" s="45" t="s">
        <v>329</v>
      </c>
      <c r="B300" s="45" t="s">
        <v>593</v>
      </c>
      <c r="C300" s="45" t="s">
        <v>80</v>
      </c>
      <c r="D300" s="45">
        <v>0.2</v>
      </c>
      <c r="E300" s="45">
        <v>1.0</v>
      </c>
      <c r="F300" s="45">
        <v>1.0</v>
      </c>
      <c r="G300" s="45">
        <v>15.0</v>
      </c>
    </row>
    <row r="301">
      <c r="A301" s="45" t="s">
        <v>334</v>
      </c>
      <c r="B301" s="45" t="s">
        <v>520</v>
      </c>
      <c r="C301" s="45" t="s">
        <v>53</v>
      </c>
      <c r="D301" s="45">
        <v>0.2</v>
      </c>
      <c r="E301" s="45">
        <v>1.0</v>
      </c>
      <c r="F301" s="45">
        <v>3.0</v>
      </c>
      <c r="G301" s="45">
        <v>1.0</v>
      </c>
    </row>
    <row r="302">
      <c r="A302" s="45" t="s">
        <v>334</v>
      </c>
      <c r="B302" s="45" t="s">
        <v>609</v>
      </c>
      <c r="C302" s="45" t="s">
        <v>237</v>
      </c>
      <c r="D302" s="45">
        <v>0.2</v>
      </c>
      <c r="E302" s="45">
        <v>1.0</v>
      </c>
      <c r="F302" s="45">
        <v>2.0</v>
      </c>
      <c r="G302" s="45">
        <v>2.0</v>
      </c>
    </row>
    <row r="303">
      <c r="A303" s="45" t="s">
        <v>334</v>
      </c>
      <c r="B303" s="45" t="s">
        <v>525</v>
      </c>
      <c r="C303" s="45" t="s">
        <v>80</v>
      </c>
      <c r="D303" s="45">
        <v>0.2</v>
      </c>
      <c r="E303" s="45">
        <v>1.0</v>
      </c>
      <c r="F303" s="45">
        <v>1.0</v>
      </c>
      <c r="G303" s="45">
        <v>3.0</v>
      </c>
    </row>
    <row r="304">
      <c r="A304" s="45" t="s">
        <v>334</v>
      </c>
      <c r="B304" s="45" t="s">
        <v>527</v>
      </c>
      <c r="C304" s="45" t="s">
        <v>80</v>
      </c>
      <c r="D304" s="45">
        <v>0.2</v>
      </c>
      <c r="E304" s="45">
        <v>1.0</v>
      </c>
      <c r="F304" s="45">
        <v>1.0</v>
      </c>
      <c r="G304" s="45">
        <v>4.0</v>
      </c>
    </row>
    <row r="305">
      <c r="A305" s="45" t="s">
        <v>334</v>
      </c>
      <c r="B305" s="45" t="s">
        <v>600</v>
      </c>
      <c r="C305" s="45" t="s">
        <v>145</v>
      </c>
      <c r="D305" s="45">
        <v>0.5</v>
      </c>
      <c r="E305" s="45">
        <v>1.0</v>
      </c>
      <c r="F305" s="45">
        <v>2.0</v>
      </c>
      <c r="G305" s="45">
        <v>5.0</v>
      </c>
    </row>
    <row r="306">
      <c r="A306" s="45" t="s">
        <v>334</v>
      </c>
      <c r="B306" s="45" t="s">
        <v>611</v>
      </c>
      <c r="C306" s="45" t="s">
        <v>237</v>
      </c>
      <c r="D306" s="45">
        <v>0.5</v>
      </c>
      <c r="E306" s="45">
        <v>1.0</v>
      </c>
      <c r="F306" s="45">
        <v>2.0</v>
      </c>
      <c r="G306" s="45">
        <v>6.0</v>
      </c>
    </row>
    <row r="307">
      <c r="A307" s="45" t="s">
        <v>334</v>
      </c>
      <c r="B307" s="45" t="s">
        <v>582</v>
      </c>
      <c r="C307" s="45" t="s">
        <v>207</v>
      </c>
      <c r="D307" s="45">
        <v>0.5</v>
      </c>
      <c r="E307" s="45">
        <v>1.0</v>
      </c>
      <c r="F307" s="45">
        <v>2.0</v>
      </c>
      <c r="G307" s="45">
        <v>7.0</v>
      </c>
    </row>
    <row r="308">
      <c r="A308" s="45" t="s">
        <v>334</v>
      </c>
      <c r="B308" s="45" t="s">
        <v>583</v>
      </c>
      <c r="C308" s="45" t="s">
        <v>207</v>
      </c>
      <c r="D308" s="45">
        <v>0.25</v>
      </c>
      <c r="E308" s="45">
        <v>1.0</v>
      </c>
      <c r="F308" s="45">
        <v>2.0</v>
      </c>
      <c r="G308" s="45">
        <v>8.0</v>
      </c>
    </row>
    <row r="309">
      <c r="A309" s="45" t="s">
        <v>334</v>
      </c>
      <c r="B309" s="45" t="s">
        <v>612</v>
      </c>
      <c r="C309" s="45" t="s">
        <v>237</v>
      </c>
      <c r="D309" s="45">
        <v>0.25</v>
      </c>
      <c r="E309" s="45">
        <v>1.0</v>
      </c>
      <c r="F309" s="45">
        <v>2.0</v>
      </c>
      <c r="G309" s="45">
        <v>9.0</v>
      </c>
    </row>
    <row r="310">
      <c r="A310" s="45" t="s">
        <v>334</v>
      </c>
      <c r="B310" s="45" t="s">
        <v>606</v>
      </c>
      <c r="C310" s="45" t="s">
        <v>80</v>
      </c>
      <c r="D310" s="45">
        <v>0.2</v>
      </c>
      <c r="E310" s="45">
        <v>1.0</v>
      </c>
      <c r="F310" s="45">
        <v>1.0</v>
      </c>
      <c r="G310" s="45">
        <v>10.0</v>
      </c>
    </row>
    <row r="311">
      <c r="A311" s="45" t="s">
        <v>334</v>
      </c>
      <c r="B311" s="45" t="s">
        <v>558</v>
      </c>
      <c r="C311" s="45" t="s">
        <v>80</v>
      </c>
      <c r="D311" s="45">
        <v>0.2</v>
      </c>
      <c r="E311" s="45">
        <v>1.0</v>
      </c>
      <c r="F311" s="45">
        <v>1.0</v>
      </c>
      <c r="G311" s="45">
        <v>11.0</v>
      </c>
    </row>
    <row r="312">
      <c r="A312" s="45" t="s">
        <v>334</v>
      </c>
      <c r="B312" s="45" t="s">
        <v>531</v>
      </c>
      <c r="C312" s="45" t="s">
        <v>28</v>
      </c>
      <c r="D312" s="50">
        <f>1/6</f>
        <v>0.1666666667</v>
      </c>
      <c r="E312" s="45">
        <v>1.0</v>
      </c>
      <c r="F312" s="45">
        <v>1.0</v>
      </c>
      <c r="G312" s="45">
        <v>12.0</v>
      </c>
    </row>
    <row r="313">
      <c r="A313" s="45" t="s">
        <v>334</v>
      </c>
      <c r="B313" s="45" t="s">
        <v>587</v>
      </c>
      <c r="C313" s="45" t="s">
        <v>152</v>
      </c>
      <c r="D313" s="45">
        <v>0.2</v>
      </c>
      <c r="E313" s="45">
        <v>1.0</v>
      </c>
      <c r="F313" s="45">
        <v>1.0</v>
      </c>
      <c r="G313" s="45">
        <v>13.0</v>
      </c>
    </row>
    <row r="314">
      <c r="A314" s="45" t="s">
        <v>339</v>
      </c>
      <c r="B314" s="45" t="s">
        <v>520</v>
      </c>
      <c r="C314" s="45" t="s">
        <v>53</v>
      </c>
      <c r="D314" s="61">
        <v>0.2</v>
      </c>
      <c r="E314" s="61">
        <v>1.0</v>
      </c>
      <c r="F314" s="61">
        <v>3.0</v>
      </c>
      <c r="G314" s="61">
        <v>1.0</v>
      </c>
    </row>
    <row r="315">
      <c r="A315" s="45" t="s">
        <v>339</v>
      </c>
      <c r="B315" s="45" t="s">
        <v>615</v>
      </c>
      <c r="C315" s="45" t="s">
        <v>159</v>
      </c>
      <c r="D315" s="61">
        <v>0.2</v>
      </c>
      <c r="E315" s="61">
        <v>1.0</v>
      </c>
      <c r="F315" s="61">
        <v>2.0</v>
      </c>
      <c r="G315" s="61">
        <v>2.0</v>
      </c>
    </row>
    <row r="316">
      <c r="A316" s="45" t="s">
        <v>339</v>
      </c>
      <c r="B316" s="45" t="s">
        <v>616</v>
      </c>
      <c r="C316" s="45" t="s">
        <v>227</v>
      </c>
      <c r="D316" s="61">
        <v>0.25</v>
      </c>
      <c r="E316" s="61">
        <v>1.0</v>
      </c>
      <c r="F316" s="61">
        <v>2.0</v>
      </c>
      <c r="G316" s="61">
        <v>3.0</v>
      </c>
    </row>
    <row r="317">
      <c r="A317" s="45" t="s">
        <v>339</v>
      </c>
      <c r="B317" s="45" t="s">
        <v>590</v>
      </c>
      <c r="C317" s="45" t="s">
        <v>80</v>
      </c>
      <c r="D317" s="61">
        <v>0.2</v>
      </c>
      <c r="E317" s="61">
        <v>1.0</v>
      </c>
      <c r="F317" s="61">
        <v>1.0</v>
      </c>
      <c r="G317" s="61">
        <v>4.0</v>
      </c>
    </row>
    <row r="318">
      <c r="A318" s="45" t="s">
        <v>339</v>
      </c>
      <c r="B318" s="45" t="s">
        <v>617</v>
      </c>
      <c r="C318" s="45" t="s">
        <v>142</v>
      </c>
      <c r="D318" s="61">
        <v>1.0</v>
      </c>
      <c r="E318" s="61">
        <v>1.0</v>
      </c>
      <c r="F318" s="61">
        <v>2.0</v>
      </c>
      <c r="G318" s="61">
        <v>5.0</v>
      </c>
    </row>
    <row r="319">
      <c r="A319" s="45" t="s">
        <v>339</v>
      </c>
      <c r="B319" s="45" t="s">
        <v>600</v>
      </c>
      <c r="C319" s="45" t="s">
        <v>145</v>
      </c>
      <c r="D319" s="61">
        <v>1.0</v>
      </c>
      <c r="E319" s="61">
        <v>1.0</v>
      </c>
      <c r="F319" s="61">
        <v>2.0</v>
      </c>
      <c r="G319" s="61">
        <v>6.0</v>
      </c>
    </row>
    <row r="320">
      <c r="A320" s="45" t="s">
        <v>339</v>
      </c>
      <c r="B320" s="45" t="s">
        <v>584</v>
      </c>
      <c r="C320" s="45" t="s">
        <v>237</v>
      </c>
      <c r="D320" s="61">
        <v>1.0</v>
      </c>
      <c r="E320" s="61">
        <v>1.0</v>
      </c>
      <c r="F320" s="61">
        <v>2.0</v>
      </c>
      <c r="G320" s="61">
        <v>7.0</v>
      </c>
    </row>
    <row r="321">
      <c r="A321" s="45" t="s">
        <v>339</v>
      </c>
      <c r="B321" s="45" t="s">
        <v>587</v>
      </c>
      <c r="C321" s="45" t="s">
        <v>152</v>
      </c>
      <c r="D321" s="61">
        <v>2.0</v>
      </c>
      <c r="E321" s="61">
        <v>1.0</v>
      </c>
      <c r="F321" s="61">
        <v>1.0</v>
      </c>
      <c r="G321" s="61">
        <v>8.0</v>
      </c>
    </row>
    <row r="322">
      <c r="A322" s="45" t="s">
        <v>339</v>
      </c>
      <c r="B322" s="45" t="s">
        <v>290</v>
      </c>
      <c r="C322" s="45" t="s">
        <v>237</v>
      </c>
      <c r="D322" s="61">
        <v>0.2</v>
      </c>
      <c r="E322" s="61">
        <v>1.0</v>
      </c>
      <c r="F322" s="61">
        <v>2.0</v>
      </c>
      <c r="G322" s="61">
        <v>9.0</v>
      </c>
    </row>
    <row r="323">
      <c r="A323" s="45" t="s">
        <v>339</v>
      </c>
      <c r="B323" s="45" t="s">
        <v>565</v>
      </c>
      <c r="C323" s="45" t="s">
        <v>80</v>
      </c>
      <c r="D323" s="61">
        <v>0.2</v>
      </c>
      <c r="E323" s="61">
        <v>1.0</v>
      </c>
      <c r="F323" s="61">
        <v>1.0</v>
      </c>
      <c r="G323" s="61">
        <v>10.0</v>
      </c>
    </row>
    <row r="324">
      <c r="A324" s="45" t="s">
        <v>339</v>
      </c>
      <c r="B324" s="45" t="s">
        <v>580</v>
      </c>
      <c r="C324" s="45" t="s">
        <v>80</v>
      </c>
      <c r="D324" s="61">
        <v>0.2</v>
      </c>
      <c r="E324" s="61">
        <v>1.0</v>
      </c>
      <c r="F324" s="61">
        <v>1.0</v>
      </c>
      <c r="G324" s="61">
        <v>11.0</v>
      </c>
    </row>
    <row r="325">
      <c r="A325" s="45" t="s">
        <v>339</v>
      </c>
      <c r="B325" s="45" t="s">
        <v>596</v>
      </c>
      <c r="C325" s="45" t="s">
        <v>28</v>
      </c>
      <c r="D325" s="61">
        <v>0.2</v>
      </c>
      <c r="E325" s="61">
        <v>1.0</v>
      </c>
      <c r="F325" s="61">
        <v>1.0</v>
      </c>
      <c r="G325" s="61">
        <v>12.0</v>
      </c>
    </row>
    <row r="326">
      <c r="A326" s="45" t="s">
        <v>339</v>
      </c>
      <c r="B326" s="45" t="s">
        <v>531</v>
      </c>
      <c r="C326" s="45" t="s">
        <v>28</v>
      </c>
      <c r="D326" s="61">
        <f>2/11</f>
        <v>0.1818181818</v>
      </c>
      <c r="E326" s="61">
        <v>1.0</v>
      </c>
      <c r="F326" s="61">
        <v>1.0</v>
      </c>
      <c r="G326" s="61">
        <v>13.0</v>
      </c>
    </row>
    <row r="327">
      <c r="A327" s="45" t="s">
        <v>346</v>
      </c>
      <c r="B327" s="45" t="s">
        <v>520</v>
      </c>
      <c r="C327" s="45" t="s">
        <v>53</v>
      </c>
      <c r="D327" s="45">
        <v>0.2</v>
      </c>
      <c r="E327" s="45">
        <v>1.0</v>
      </c>
      <c r="F327" s="45">
        <v>3.0</v>
      </c>
      <c r="G327" s="45">
        <v>1.0</v>
      </c>
    </row>
    <row r="328">
      <c r="A328" s="45" t="s">
        <v>346</v>
      </c>
      <c r="B328" s="45" t="s">
        <v>542</v>
      </c>
      <c r="C328" s="45" t="s">
        <v>142</v>
      </c>
      <c r="D328" s="45">
        <v>1.0</v>
      </c>
      <c r="E328" s="45">
        <v>1.0</v>
      </c>
      <c r="F328" s="45">
        <v>2.0</v>
      </c>
      <c r="G328" s="45">
        <v>2.0</v>
      </c>
    </row>
    <row r="329">
      <c r="A329" s="45" t="s">
        <v>346</v>
      </c>
      <c r="B329" s="45" t="s">
        <v>543</v>
      </c>
      <c r="C329" s="45" t="s">
        <v>152</v>
      </c>
      <c r="D329" s="45">
        <v>0.4</v>
      </c>
      <c r="E329" s="45">
        <v>1.0</v>
      </c>
      <c r="F329" s="45">
        <v>1.0</v>
      </c>
      <c r="G329" s="45">
        <v>3.0</v>
      </c>
    </row>
    <row r="330">
      <c r="A330" s="45" t="s">
        <v>346</v>
      </c>
      <c r="B330" s="45" t="s">
        <v>615</v>
      </c>
      <c r="C330" s="45" t="s">
        <v>159</v>
      </c>
      <c r="D330" s="45">
        <v>0.2</v>
      </c>
      <c r="E330" s="45">
        <v>1.0</v>
      </c>
      <c r="F330" s="45">
        <v>2.0</v>
      </c>
      <c r="G330" s="45">
        <v>4.0</v>
      </c>
    </row>
    <row r="331">
      <c r="A331" s="45" t="s">
        <v>346</v>
      </c>
      <c r="B331" s="45" t="s">
        <v>616</v>
      </c>
      <c r="C331" s="45" t="s">
        <v>227</v>
      </c>
      <c r="D331" s="45">
        <v>0.25</v>
      </c>
      <c r="E331" s="45">
        <v>1.0</v>
      </c>
      <c r="F331" s="45">
        <v>2.0</v>
      </c>
      <c r="G331" s="45">
        <v>5.0</v>
      </c>
    </row>
    <row r="332">
      <c r="A332" s="45" t="s">
        <v>346</v>
      </c>
      <c r="B332" s="45" t="s">
        <v>590</v>
      </c>
      <c r="C332" s="45" t="s">
        <v>80</v>
      </c>
      <c r="D332" s="45">
        <v>0.2</v>
      </c>
      <c r="E332" s="45">
        <v>1.0</v>
      </c>
      <c r="F332" s="45">
        <v>1.0</v>
      </c>
      <c r="G332" s="45">
        <v>6.0</v>
      </c>
    </row>
    <row r="333">
      <c r="A333" s="45" t="s">
        <v>346</v>
      </c>
      <c r="B333" s="45" t="s">
        <v>617</v>
      </c>
      <c r="C333" s="45" t="s">
        <v>142</v>
      </c>
      <c r="D333" s="45">
        <v>1.0</v>
      </c>
      <c r="E333" s="45">
        <v>1.0</v>
      </c>
      <c r="F333" s="45">
        <v>2.0</v>
      </c>
      <c r="G333" s="45">
        <v>7.0</v>
      </c>
    </row>
    <row r="334">
      <c r="A334" s="45" t="s">
        <v>346</v>
      </c>
      <c r="B334" s="45" t="s">
        <v>600</v>
      </c>
      <c r="C334" s="45" t="s">
        <v>145</v>
      </c>
      <c r="D334" s="45">
        <v>1.0</v>
      </c>
      <c r="E334" s="45">
        <v>1.0</v>
      </c>
      <c r="F334" s="45">
        <v>2.0</v>
      </c>
      <c r="G334" s="45">
        <v>8.0</v>
      </c>
    </row>
    <row r="335">
      <c r="A335" s="45" t="s">
        <v>346</v>
      </c>
      <c r="B335" s="45" t="s">
        <v>584</v>
      </c>
      <c r="C335" s="45" t="s">
        <v>237</v>
      </c>
      <c r="D335" s="45">
        <v>1.0</v>
      </c>
      <c r="E335" s="45">
        <v>1.0</v>
      </c>
      <c r="F335" s="45">
        <v>2.0</v>
      </c>
      <c r="G335" s="45">
        <v>9.0</v>
      </c>
    </row>
    <row r="336">
      <c r="A336" s="45" t="s">
        <v>346</v>
      </c>
      <c r="B336" s="45" t="s">
        <v>587</v>
      </c>
      <c r="C336" s="45" t="s">
        <v>152</v>
      </c>
      <c r="D336" s="45">
        <v>2.0</v>
      </c>
      <c r="E336" s="45">
        <v>1.0</v>
      </c>
      <c r="F336" s="45">
        <v>1.0</v>
      </c>
      <c r="G336" s="45">
        <v>10.0</v>
      </c>
    </row>
    <row r="337">
      <c r="A337" s="45" t="s">
        <v>346</v>
      </c>
      <c r="B337" s="45" t="s">
        <v>577</v>
      </c>
      <c r="C337" s="45" t="s">
        <v>91</v>
      </c>
      <c r="D337" s="45">
        <v>0.2</v>
      </c>
      <c r="E337" s="45">
        <v>1.0</v>
      </c>
      <c r="F337" s="45">
        <v>1.0</v>
      </c>
      <c r="G337" s="45">
        <v>11.0</v>
      </c>
    </row>
    <row r="338">
      <c r="A338" s="45" t="s">
        <v>346</v>
      </c>
      <c r="B338" s="45" t="s">
        <v>578</v>
      </c>
      <c r="C338" s="45" t="s">
        <v>207</v>
      </c>
      <c r="D338" s="45">
        <v>0.25</v>
      </c>
      <c r="E338" s="45">
        <v>1.0</v>
      </c>
      <c r="F338" s="45">
        <v>2.0</v>
      </c>
      <c r="G338" s="45">
        <v>12.0</v>
      </c>
    </row>
    <row r="339">
      <c r="A339" s="45" t="s">
        <v>346</v>
      </c>
      <c r="B339" s="45" t="s">
        <v>537</v>
      </c>
      <c r="C339" s="45" t="s">
        <v>142</v>
      </c>
      <c r="D339" s="45">
        <v>1.0</v>
      </c>
      <c r="E339" s="45">
        <v>1.0</v>
      </c>
      <c r="F339" s="45">
        <v>2.0</v>
      </c>
      <c r="G339" s="45">
        <v>13.0</v>
      </c>
    </row>
    <row r="340">
      <c r="A340" s="45" t="s">
        <v>346</v>
      </c>
      <c r="B340" s="45" t="s">
        <v>538</v>
      </c>
      <c r="C340" s="45" t="s">
        <v>152</v>
      </c>
      <c r="D340" s="45">
        <v>0.4</v>
      </c>
      <c r="E340" s="45">
        <v>1.0</v>
      </c>
      <c r="F340" s="45">
        <v>1.0</v>
      </c>
      <c r="G340" s="45">
        <v>14.0</v>
      </c>
    </row>
    <row r="341">
      <c r="A341" s="45" t="s">
        <v>346</v>
      </c>
      <c r="B341" s="45" t="s">
        <v>591</v>
      </c>
      <c r="C341" s="45" t="s">
        <v>142</v>
      </c>
      <c r="D341" s="45">
        <v>1.0</v>
      </c>
      <c r="E341" s="45">
        <v>1.0</v>
      </c>
      <c r="F341" s="45">
        <v>2.0</v>
      </c>
      <c r="G341" s="45">
        <v>15.0</v>
      </c>
    </row>
    <row r="342">
      <c r="A342" s="45" t="s">
        <v>346</v>
      </c>
      <c r="B342" s="45" t="s">
        <v>593</v>
      </c>
      <c r="C342" s="45" t="s">
        <v>80</v>
      </c>
      <c r="D342" s="45">
        <v>0.2</v>
      </c>
      <c r="E342" s="45">
        <v>1.0</v>
      </c>
      <c r="F342" s="45">
        <v>1.0</v>
      </c>
      <c r="G342" s="45">
        <v>16.0</v>
      </c>
    </row>
    <row r="343">
      <c r="A343" s="45" t="s">
        <v>346</v>
      </c>
      <c r="B343" s="45" t="s">
        <v>531</v>
      </c>
      <c r="C343" s="45" t="s">
        <v>28</v>
      </c>
      <c r="D343" s="45">
        <f>2/11</f>
        <v>0.1818181818</v>
      </c>
      <c r="E343" s="45">
        <v>1.0</v>
      </c>
      <c r="F343" s="45">
        <v>1.0</v>
      </c>
      <c r="G343" s="45">
        <v>17.0</v>
      </c>
    </row>
    <row r="344">
      <c r="A344" s="45" t="s">
        <v>352</v>
      </c>
      <c r="B344" s="45" t="s">
        <v>520</v>
      </c>
      <c r="C344" s="45" t="s">
        <v>53</v>
      </c>
      <c r="D344" s="61">
        <v>0.2</v>
      </c>
      <c r="E344" s="61">
        <v>1.0</v>
      </c>
      <c r="F344" s="61">
        <v>3.0</v>
      </c>
      <c r="G344" s="61">
        <v>1.0</v>
      </c>
    </row>
    <row r="345">
      <c r="A345" s="45" t="s">
        <v>352</v>
      </c>
      <c r="B345" s="45" t="s">
        <v>54</v>
      </c>
      <c r="C345" s="45" t="s">
        <v>237</v>
      </c>
      <c r="D345" s="61">
        <v>0.2</v>
      </c>
      <c r="E345" s="61">
        <v>1.0</v>
      </c>
      <c r="F345" s="61">
        <v>2.0</v>
      </c>
      <c r="G345" s="61">
        <v>2.0</v>
      </c>
    </row>
    <row r="346">
      <c r="A346" s="45" t="s">
        <v>352</v>
      </c>
      <c r="B346" s="45" t="s">
        <v>525</v>
      </c>
      <c r="C346" s="45" t="s">
        <v>80</v>
      </c>
      <c r="D346" s="61">
        <v>0.2</v>
      </c>
      <c r="E346" s="61">
        <v>1.0</v>
      </c>
      <c r="F346" s="61">
        <v>1.0</v>
      </c>
      <c r="G346" s="61">
        <v>3.0</v>
      </c>
    </row>
    <row r="347">
      <c r="A347" s="45" t="s">
        <v>352</v>
      </c>
      <c r="B347" s="45" t="s">
        <v>527</v>
      </c>
      <c r="C347" s="45" t="s">
        <v>80</v>
      </c>
      <c r="D347" s="61">
        <v>0.2</v>
      </c>
      <c r="E347" s="61">
        <v>1.0</v>
      </c>
      <c r="F347" s="61">
        <v>1.0</v>
      </c>
      <c r="G347" s="61">
        <v>4.0</v>
      </c>
    </row>
    <row r="348">
      <c r="A348" s="45" t="s">
        <v>352</v>
      </c>
      <c r="B348" s="45" t="s">
        <v>622</v>
      </c>
      <c r="C348" s="45" t="s">
        <v>80</v>
      </c>
      <c r="D348" s="61">
        <v>0.2</v>
      </c>
      <c r="E348" s="61">
        <v>1.0</v>
      </c>
      <c r="F348" s="61">
        <v>1.0</v>
      </c>
      <c r="G348" s="61">
        <v>5.0</v>
      </c>
    </row>
    <row r="349">
      <c r="A349" s="45" t="s">
        <v>352</v>
      </c>
      <c r="B349" s="45" t="s">
        <v>615</v>
      </c>
      <c r="C349" s="45" t="s">
        <v>159</v>
      </c>
      <c r="D349" s="61">
        <v>0.2</v>
      </c>
      <c r="E349" s="61">
        <v>1.0</v>
      </c>
      <c r="F349" s="61">
        <v>2.0</v>
      </c>
      <c r="G349" s="61">
        <v>6.0</v>
      </c>
    </row>
    <row r="350">
      <c r="A350" s="45" t="s">
        <v>352</v>
      </c>
      <c r="B350" s="45" t="s">
        <v>616</v>
      </c>
      <c r="C350" s="45" t="s">
        <v>227</v>
      </c>
      <c r="D350" s="61">
        <v>0.25</v>
      </c>
      <c r="E350" s="61">
        <v>1.0</v>
      </c>
      <c r="F350" s="61">
        <v>2.0</v>
      </c>
      <c r="G350" s="61">
        <v>7.0</v>
      </c>
    </row>
    <row r="351">
      <c r="A351" s="45" t="s">
        <v>352</v>
      </c>
      <c r="B351" s="45" t="s">
        <v>590</v>
      </c>
      <c r="C351" s="45" t="s">
        <v>80</v>
      </c>
      <c r="D351" s="61">
        <v>0.2</v>
      </c>
      <c r="E351" s="61">
        <v>1.0</v>
      </c>
      <c r="F351" s="61">
        <v>1.0</v>
      </c>
      <c r="G351" s="61">
        <v>8.0</v>
      </c>
    </row>
    <row r="352">
      <c r="A352" s="45" t="s">
        <v>352</v>
      </c>
      <c r="B352" s="45" t="s">
        <v>617</v>
      </c>
      <c r="C352" s="45" t="s">
        <v>142</v>
      </c>
      <c r="D352" s="61">
        <v>1.0</v>
      </c>
      <c r="E352" s="61">
        <v>1.0</v>
      </c>
      <c r="F352" s="61">
        <v>2.0</v>
      </c>
      <c r="G352" s="61">
        <v>9.0</v>
      </c>
    </row>
    <row r="353">
      <c r="A353" s="45" t="s">
        <v>352</v>
      </c>
      <c r="B353" s="45" t="s">
        <v>600</v>
      </c>
      <c r="C353" s="45" t="s">
        <v>145</v>
      </c>
      <c r="D353" s="61">
        <v>1.0</v>
      </c>
      <c r="E353" s="61">
        <v>1.0</v>
      </c>
      <c r="F353" s="61">
        <v>2.0</v>
      </c>
      <c r="G353" s="61">
        <v>10.0</v>
      </c>
    </row>
    <row r="354">
      <c r="A354" s="45" t="s">
        <v>352</v>
      </c>
      <c r="B354" s="45" t="s">
        <v>584</v>
      </c>
      <c r="C354" s="45" t="s">
        <v>237</v>
      </c>
      <c r="D354" s="61">
        <v>1.0</v>
      </c>
      <c r="E354" s="61">
        <v>1.0</v>
      </c>
      <c r="F354" s="61">
        <v>2.0</v>
      </c>
      <c r="G354" s="61">
        <v>11.0</v>
      </c>
    </row>
    <row r="355">
      <c r="A355" s="45" t="s">
        <v>352</v>
      </c>
      <c r="B355" s="45" t="s">
        <v>587</v>
      </c>
      <c r="C355" s="45" t="s">
        <v>152</v>
      </c>
      <c r="D355" s="61">
        <v>2.0</v>
      </c>
      <c r="E355" s="61">
        <v>1.0</v>
      </c>
      <c r="F355" s="61">
        <v>1.0</v>
      </c>
      <c r="G355" s="61">
        <v>12.0</v>
      </c>
    </row>
    <row r="356">
      <c r="A356" s="45" t="s">
        <v>352</v>
      </c>
      <c r="B356" s="45" t="s">
        <v>577</v>
      </c>
      <c r="C356" s="45" t="s">
        <v>91</v>
      </c>
      <c r="D356" s="61">
        <v>0.2</v>
      </c>
      <c r="E356" s="61">
        <v>1.0</v>
      </c>
      <c r="F356" s="61">
        <v>1.0</v>
      </c>
      <c r="G356" s="61">
        <v>13.0</v>
      </c>
    </row>
    <row r="357">
      <c r="A357" s="45" t="s">
        <v>352</v>
      </c>
      <c r="B357" s="45" t="s">
        <v>578</v>
      </c>
      <c r="C357" s="45" t="s">
        <v>207</v>
      </c>
      <c r="D357" s="61">
        <v>0.25</v>
      </c>
      <c r="E357" s="61">
        <v>1.0</v>
      </c>
      <c r="F357" s="61">
        <v>2.0</v>
      </c>
      <c r="G357" s="61">
        <v>14.0</v>
      </c>
    </row>
    <row r="358">
      <c r="A358" s="45" t="s">
        <v>352</v>
      </c>
      <c r="B358" s="45" t="s">
        <v>537</v>
      </c>
      <c r="C358" s="45" t="s">
        <v>142</v>
      </c>
      <c r="D358" s="61">
        <v>1.0</v>
      </c>
      <c r="E358" s="61">
        <v>1.0</v>
      </c>
      <c r="F358" s="61">
        <v>2.0</v>
      </c>
      <c r="G358" s="61">
        <v>15.0</v>
      </c>
    </row>
    <row r="359">
      <c r="A359" s="45" t="s">
        <v>352</v>
      </c>
      <c r="B359" s="45" t="s">
        <v>538</v>
      </c>
      <c r="C359" s="45" t="s">
        <v>152</v>
      </c>
      <c r="D359" s="61">
        <v>0.4</v>
      </c>
      <c r="E359" s="61">
        <v>1.0</v>
      </c>
      <c r="F359" s="61">
        <v>1.0</v>
      </c>
      <c r="G359" s="61">
        <v>16.0</v>
      </c>
    </row>
    <row r="360">
      <c r="A360" s="45" t="s">
        <v>352</v>
      </c>
      <c r="B360" s="45" t="s">
        <v>591</v>
      </c>
      <c r="C360" s="45" t="s">
        <v>142</v>
      </c>
      <c r="D360" s="61">
        <v>1.0</v>
      </c>
      <c r="E360" s="61">
        <v>1.0</v>
      </c>
      <c r="F360" s="61">
        <v>2.0</v>
      </c>
      <c r="G360" s="61">
        <v>17.0</v>
      </c>
    </row>
    <row r="361">
      <c r="A361" s="45" t="s">
        <v>352</v>
      </c>
      <c r="B361" s="45" t="s">
        <v>593</v>
      </c>
      <c r="C361" s="45" t="s">
        <v>80</v>
      </c>
      <c r="D361" s="61">
        <v>0.2</v>
      </c>
      <c r="E361" s="61">
        <v>1.0</v>
      </c>
      <c r="F361" s="61">
        <v>1.0</v>
      </c>
      <c r="G361" s="61">
        <v>18.0</v>
      </c>
    </row>
    <row r="362">
      <c r="A362" s="45" t="s">
        <v>352</v>
      </c>
      <c r="B362" s="45" t="s">
        <v>531</v>
      </c>
      <c r="C362" s="45" t="s">
        <v>28</v>
      </c>
      <c r="D362" s="61">
        <f>2/11</f>
        <v>0.1818181818</v>
      </c>
      <c r="E362" s="61">
        <v>1.0</v>
      </c>
      <c r="F362" s="61">
        <v>1.0</v>
      </c>
      <c r="G362" s="61">
        <v>19.0</v>
      </c>
    </row>
    <row r="363">
      <c r="A363" s="45" t="s">
        <v>356</v>
      </c>
      <c r="B363" s="45" t="s">
        <v>520</v>
      </c>
      <c r="C363" s="45" t="s">
        <v>53</v>
      </c>
      <c r="D363" s="45">
        <v>0.2</v>
      </c>
      <c r="E363" s="45">
        <v>1.0</v>
      </c>
      <c r="F363" s="45">
        <v>3.0</v>
      </c>
      <c r="G363" s="45">
        <v>1.0</v>
      </c>
    </row>
    <row r="364">
      <c r="A364" s="45" t="s">
        <v>356</v>
      </c>
      <c r="B364" s="45" t="s">
        <v>54</v>
      </c>
      <c r="C364" s="45" t="s">
        <v>237</v>
      </c>
      <c r="D364" s="45">
        <v>0.2</v>
      </c>
      <c r="E364" s="45">
        <v>1.0</v>
      </c>
      <c r="F364" s="45">
        <v>2.0</v>
      </c>
      <c r="G364" s="45">
        <v>2.0</v>
      </c>
    </row>
    <row r="365">
      <c r="A365" s="45" t="s">
        <v>356</v>
      </c>
      <c r="B365" s="45" t="s">
        <v>525</v>
      </c>
      <c r="C365" s="45" t="s">
        <v>80</v>
      </c>
      <c r="D365" s="45">
        <v>0.2</v>
      </c>
      <c r="E365" s="45">
        <v>1.0</v>
      </c>
      <c r="F365" s="45">
        <v>1.0</v>
      </c>
      <c r="G365" s="45">
        <v>3.0</v>
      </c>
    </row>
    <row r="366">
      <c r="A366" s="45" t="s">
        <v>356</v>
      </c>
      <c r="B366" s="45" t="s">
        <v>527</v>
      </c>
      <c r="C366" s="45" t="s">
        <v>80</v>
      </c>
      <c r="D366" s="45">
        <v>0.2</v>
      </c>
      <c r="E366" s="45">
        <v>1.0</v>
      </c>
      <c r="F366" s="45">
        <v>1.0</v>
      </c>
      <c r="G366" s="45">
        <v>4.0</v>
      </c>
    </row>
    <row r="367">
      <c r="A367" s="45" t="s">
        <v>356</v>
      </c>
      <c r="B367" s="45" t="s">
        <v>552</v>
      </c>
      <c r="C367" s="45" t="s">
        <v>91</v>
      </c>
      <c r="D367" s="45">
        <v>0.2</v>
      </c>
      <c r="E367" s="45">
        <v>1.0</v>
      </c>
      <c r="F367" s="45">
        <v>1.0</v>
      </c>
      <c r="G367" s="45">
        <v>5.0</v>
      </c>
    </row>
    <row r="368">
      <c r="A368" s="45" t="s">
        <v>356</v>
      </c>
      <c r="B368" s="45" t="s">
        <v>553</v>
      </c>
      <c r="C368" s="45" t="s">
        <v>207</v>
      </c>
      <c r="D368" s="45">
        <v>0.5</v>
      </c>
      <c r="E368" s="45">
        <v>1.0</v>
      </c>
      <c r="F368" s="45">
        <v>2.0</v>
      </c>
      <c r="G368" s="45">
        <v>6.0</v>
      </c>
    </row>
    <row r="369">
      <c r="A369" s="45" t="s">
        <v>356</v>
      </c>
      <c r="B369" s="45" t="s">
        <v>537</v>
      </c>
      <c r="C369" s="45" t="s">
        <v>142</v>
      </c>
      <c r="D369" s="45">
        <v>2.0</v>
      </c>
      <c r="E369" s="45">
        <v>1.0</v>
      </c>
      <c r="F369" s="45">
        <v>2.0</v>
      </c>
      <c r="G369" s="45">
        <v>7.0</v>
      </c>
    </row>
    <row r="370">
      <c r="A370" s="45" t="s">
        <v>356</v>
      </c>
      <c r="B370" s="45" t="s">
        <v>538</v>
      </c>
      <c r="C370" s="45" t="s">
        <v>152</v>
      </c>
      <c r="D370" s="45">
        <v>0.8</v>
      </c>
      <c r="E370" s="45">
        <v>1.0</v>
      </c>
      <c r="F370" s="45">
        <v>1.0</v>
      </c>
      <c r="G370" s="45">
        <v>8.0</v>
      </c>
    </row>
    <row r="371">
      <c r="A371" s="45" t="s">
        <v>356</v>
      </c>
      <c r="B371" s="45" t="s">
        <v>542</v>
      </c>
      <c r="C371" s="45" t="s">
        <v>142</v>
      </c>
      <c r="D371" s="45">
        <v>1.0</v>
      </c>
      <c r="E371" s="45">
        <v>1.0</v>
      </c>
      <c r="F371" s="45">
        <v>2.0</v>
      </c>
      <c r="G371" s="45">
        <v>9.0</v>
      </c>
    </row>
    <row r="372">
      <c r="A372" s="45" t="s">
        <v>356</v>
      </c>
      <c r="B372" s="45" t="s">
        <v>543</v>
      </c>
      <c r="C372" s="45" t="s">
        <v>152</v>
      </c>
      <c r="D372" s="45">
        <v>0.4</v>
      </c>
      <c r="E372" s="45">
        <v>1.0</v>
      </c>
      <c r="F372" s="45">
        <v>1.0</v>
      </c>
      <c r="G372" s="45">
        <v>10.0</v>
      </c>
    </row>
    <row r="373">
      <c r="A373" s="45" t="s">
        <v>356</v>
      </c>
      <c r="B373" s="45" t="s">
        <v>617</v>
      </c>
      <c r="C373" s="45" t="s">
        <v>142</v>
      </c>
      <c r="D373" s="45">
        <v>1.0</v>
      </c>
      <c r="E373" s="45">
        <v>1.0</v>
      </c>
      <c r="F373" s="45">
        <v>2.0</v>
      </c>
      <c r="G373" s="45">
        <v>11.0</v>
      </c>
    </row>
    <row r="374">
      <c r="A374" s="45" t="s">
        <v>356</v>
      </c>
      <c r="B374" s="45" t="s">
        <v>600</v>
      </c>
      <c r="C374" s="45" t="s">
        <v>145</v>
      </c>
      <c r="D374" s="45">
        <v>1.0</v>
      </c>
      <c r="E374" s="45">
        <v>1.0</v>
      </c>
      <c r="F374" s="45">
        <v>2.0</v>
      </c>
      <c r="G374" s="45">
        <v>12.0</v>
      </c>
    </row>
    <row r="375">
      <c r="A375" s="45" t="s">
        <v>356</v>
      </c>
      <c r="B375" s="45" t="s">
        <v>611</v>
      </c>
      <c r="C375" s="45" t="s">
        <v>237</v>
      </c>
      <c r="D375" s="45">
        <v>1.0</v>
      </c>
      <c r="E375" s="45">
        <v>1.0</v>
      </c>
      <c r="F375" s="45">
        <v>2.0</v>
      </c>
      <c r="G375" s="45">
        <v>13.0</v>
      </c>
    </row>
    <row r="376">
      <c r="A376" s="45" t="s">
        <v>356</v>
      </c>
      <c r="B376" s="45" t="s">
        <v>583</v>
      </c>
      <c r="C376" s="45" t="s">
        <v>207</v>
      </c>
      <c r="D376" s="45">
        <v>0.25</v>
      </c>
      <c r="E376" s="45">
        <v>1.0</v>
      </c>
      <c r="F376" s="45">
        <v>2.0</v>
      </c>
      <c r="G376" s="45">
        <v>14.0</v>
      </c>
    </row>
    <row r="377">
      <c r="A377" s="45" t="s">
        <v>356</v>
      </c>
      <c r="B377" s="45" t="s">
        <v>632</v>
      </c>
      <c r="C377" s="45" t="s">
        <v>237</v>
      </c>
      <c r="D377" s="45">
        <v>0.5</v>
      </c>
      <c r="E377" s="45">
        <v>1.0</v>
      </c>
      <c r="F377" s="45">
        <v>2.0</v>
      </c>
      <c r="G377" s="45">
        <v>15.0</v>
      </c>
    </row>
    <row r="378">
      <c r="A378" s="45" t="s">
        <v>356</v>
      </c>
      <c r="B378" s="45" t="s">
        <v>587</v>
      </c>
      <c r="C378" s="45" t="s">
        <v>152</v>
      </c>
      <c r="D378" s="50">
        <f>2/3</f>
        <v>0.6666666667</v>
      </c>
      <c r="E378" s="45">
        <v>1.0</v>
      </c>
      <c r="F378" s="45">
        <v>1.0</v>
      </c>
      <c r="G378" s="45">
        <v>16.0</v>
      </c>
    </row>
    <row r="379">
      <c r="A379" s="45" t="s">
        <v>356</v>
      </c>
      <c r="B379" s="45" t="s">
        <v>531</v>
      </c>
      <c r="C379" s="45" t="s">
        <v>28</v>
      </c>
      <c r="D379" s="50">
        <f>2/11</f>
        <v>0.1818181818</v>
      </c>
      <c r="E379" s="45">
        <v>1.0</v>
      </c>
      <c r="F379" s="45">
        <v>1.0</v>
      </c>
      <c r="G379" s="45">
        <v>17.0</v>
      </c>
    </row>
    <row r="380">
      <c r="A380" s="45" t="s">
        <v>361</v>
      </c>
      <c r="B380" s="45" t="s">
        <v>520</v>
      </c>
      <c r="C380" s="45" t="s">
        <v>53</v>
      </c>
      <c r="D380" s="61">
        <v>0.2</v>
      </c>
      <c r="E380" s="61">
        <v>1.0</v>
      </c>
      <c r="F380" s="61">
        <v>3.0</v>
      </c>
      <c r="G380" s="61">
        <v>1.0</v>
      </c>
    </row>
    <row r="381">
      <c r="A381" s="45" t="s">
        <v>361</v>
      </c>
      <c r="B381" s="45" t="s">
        <v>325</v>
      </c>
      <c r="C381" s="45" t="s">
        <v>159</v>
      </c>
      <c r="D381" s="61">
        <v>0.2</v>
      </c>
      <c r="E381" s="61">
        <v>1.0</v>
      </c>
      <c r="F381" s="61">
        <v>2.0</v>
      </c>
      <c r="G381" s="61">
        <v>2.0</v>
      </c>
    </row>
    <row r="382">
      <c r="A382" s="45" t="s">
        <v>361</v>
      </c>
      <c r="B382" s="45" t="s">
        <v>606</v>
      </c>
      <c r="C382" s="45" t="s">
        <v>80</v>
      </c>
      <c r="D382" s="61">
        <v>0.2</v>
      </c>
      <c r="E382" s="61">
        <v>1.0</v>
      </c>
      <c r="F382" s="61">
        <v>1.0</v>
      </c>
      <c r="G382" s="61">
        <v>3.0</v>
      </c>
    </row>
    <row r="383">
      <c r="A383" s="45" t="s">
        <v>361</v>
      </c>
      <c r="B383" s="45" t="s">
        <v>579</v>
      </c>
      <c r="C383" s="45" t="s">
        <v>152</v>
      </c>
      <c r="D383" s="61">
        <v>0.2</v>
      </c>
      <c r="E383" s="61">
        <v>1.0</v>
      </c>
      <c r="F383" s="61">
        <v>1.0</v>
      </c>
      <c r="G383" s="61">
        <v>4.0</v>
      </c>
    </row>
    <row r="384">
      <c r="A384" s="45" t="s">
        <v>361</v>
      </c>
      <c r="B384" s="45" t="s">
        <v>596</v>
      </c>
      <c r="C384" s="45" t="s">
        <v>28</v>
      </c>
      <c r="D384" s="61">
        <v>0.2</v>
      </c>
      <c r="E384" s="61">
        <v>1.0</v>
      </c>
      <c r="F384" s="61">
        <v>1.0</v>
      </c>
      <c r="G384" s="61">
        <v>5.0</v>
      </c>
    </row>
    <row r="385">
      <c r="A385" s="45" t="s">
        <v>361</v>
      </c>
      <c r="B385" s="45" t="s">
        <v>580</v>
      </c>
      <c r="C385" s="45" t="s">
        <v>80</v>
      </c>
      <c r="D385" s="61">
        <v>0.2</v>
      </c>
      <c r="E385" s="61">
        <v>1.0</v>
      </c>
      <c r="F385" s="61">
        <v>1.0</v>
      </c>
      <c r="G385" s="61">
        <v>6.0</v>
      </c>
    </row>
    <row r="386">
      <c r="A386" s="45" t="s">
        <v>368</v>
      </c>
      <c r="B386" s="45" t="s">
        <v>520</v>
      </c>
      <c r="C386" s="45" t="s">
        <v>53</v>
      </c>
      <c r="D386" s="61">
        <v>0.2</v>
      </c>
      <c r="E386" s="61">
        <v>1.0</v>
      </c>
      <c r="F386" s="61">
        <v>3.0</v>
      </c>
      <c r="G386" s="61">
        <v>1.0</v>
      </c>
    </row>
    <row r="387">
      <c r="A387" s="45" t="s">
        <v>368</v>
      </c>
      <c r="B387" s="45" t="s">
        <v>325</v>
      </c>
      <c r="C387" s="45" t="s">
        <v>159</v>
      </c>
      <c r="D387" s="61">
        <v>0.2</v>
      </c>
      <c r="E387" s="61">
        <v>1.0</v>
      </c>
      <c r="F387" s="61">
        <v>2.0</v>
      </c>
      <c r="G387" s="61">
        <v>2.0</v>
      </c>
    </row>
    <row r="388">
      <c r="A388" s="45" t="s">
        <v>368</v>
      </c>
      <c r="B388" s="45" t="s">
        <v>606</v>
      </c>
      <c r="C388" s="45" t="s">
        <v>80</v>
      </c>
      <c r="D388" s="61">
        <v>0.2</v>
      </c>
      <c r="E388" s="61">
        <v>1.0</v>
      </c>
      <c r="F388" s="61">
        <v>1.0</v>
      </c>
      <c r="G388" s="61">
        <v>3.0</v>
      </c>
    </row>
    <row r="389">
      <c r="A389" s="45" t="s">
        <v>368</v>
      </c>
      <c r="B389" s="45" t="s">
        <v>633</v>
      </c>
      <c r="C389" s="45" t="s">
        <v>227</v>
      </c>
      <c r="D389" s="61">
        <v>0.25</v>
      </c>
      <c r="E389" s="61">
        <v>1.0</v>
      </c>
      <c r="F389" s="61">
        <v>2.0</v>
      </c>
      <c r="G389" s="61">
        <v>4.0</v>
      </c>
    </row>
    <row r="390">
      <c r="A390" s="45" t="s">
        <v>368</v>
      </c>
      <c r="B390" s="45" t="s">
        <v>634</v>
      </c>
      <c r="C390" s="45" t="s">
        <v>152</v>
      </c>
      <c r="D390" s="61">
        <v>0.2</v>
      </c>
      <c r="E390" s="61">
        <v>1.0</v>
      </c>
      <c r="F390" s="61">
        <v>1.0</v>
      </c>
      <c r="G390" s="61">
        <v>5.0</v>
      </c>
    </row>
    <row r="391">
      <c r="A391" s="45" t="s">
        <v>368</v>
      </c>
      <c r="B391" s="45" t="s">
        <v>369</v>
      </c>
      <c r="C391" s="45" t="s">
        <v>172</v>
      </c>
      <c r="D391" s="61">
        <v>0.2</v>
      </c>
      <c r="E391" s="61">
        <v>1.0</v>
      </c>
      <c r="F391" s="61">
        <v>2.0</v>
      </c>
      <c r="G391" s="61">
        <v>6.0</v>
      </c>
    </row>
    <row r="392">
      <c r="A392" s="45" t="s">
        <v>368</v>
      </c>
      <c r="B392" s="45" t="s">
        <v>635</v>
      </c>
      <c r="C392" s="45" t="s">
        <v>80</v>
      </c>
      <c r="D392" s="61">
        <v>0.2</v>
      </c>
      <c r="E392" s="61">
        <v>1.0</v>
      </c>
      <c r="F392" s="61">
        <v>1.0</v>
      </c>
      <c r="G392" s="61">
        <v>7.0</v>
      </c>
    </row>
    <row r="393">
      <c r="A393" s="45" t="s">
        <v>368</v>
      </c>
      <c r="B393" s="45" t="s">
        <v>636</v>
      </c>
      <c r="C393" s="45" t="s">
        <v>207</v>
      </c>
      <c r="D393" s="61">
        <v>0.5</v>
      </c>
      <c r="E393" s="61">
        <v>1.0</v>
      </c>
      <c r="F393" s="61">
        <v>2.0</v>
      </c>
      <c r="G393" s="61">
        <v>8.0</v>
      </c>
    </row>
    <row r="394">
      <c r="A394" s="45" t="s">
        <v>368</v>
      </c>
      <c r="B394" s="45" t="s">
        <v>565</v>
      </c>
      <c r="C394" s="45" t="s">
        <v>80</v>
      </c>
      <c r="D394" s="61">
        <v>0.4</v>
      </c>
      <c r="E394" s="61">
        <v>1.0</v>
      </c>
      <c r="F394" s="61">
        <v>1.0</v>
      </c>
      <c r="G394" s="61">
        <v>9.0</v>
      </c>
    </row>
    <row r="395">
      <c r="A395" s="45" t="s">
        <v>368</v>
      </c>
      <c r="B395" s="45" t="s">
        <v>525</v>
      </c>
      <c r="C395" s="45" t="s">
        <v>80</v>
      </c>
      <c r="D395" s="61">
        <v>0.4</v>
      </c>
      <c r="E395" s="61">
        <v>1.0</v>
      </c>
      <c r="F395" s="61">
        <v>1.0</v>
      </c>
      <c r="G395" s="61">
        <v>10.0</v>
      </c>
    </row>
    <row r="396">
      <c r="A396" s="45" t="s">
        <v>368</v>
      </c>
      <c r="B396" s="45" t="s">
        <v>637</v>
      </c>
      <c r="C396" s="45" t="s">
        <v>80</v>
      </c>
      <c r="D396" s="61">
        <v>0.2</v>
      </c>
      <c r="E396" s="61">
        <v>1.0</v>
      </c>
      <c r="F396" s="61">
        <v>1.0</v>
      </c>
      <c r="G396" s="61">
        <v>11.0</v>
      </c>
    </row>
    <row r="397">
      <c r="A397" s="45" t="s">
        <v>375</v>
      </c>
      <c r="B397" s="45" t="s">
        <v>520</v>
      </c>
      <c r="C397" s="45" t="s">
        <v>53</v>
      </c>
      <c r="D397" s="61">
        <v>0.2</v>
      </c>
      <c r="E397" s="61">
        <v>1.0</v>
      </c>
      <c r="F397" s="61">
        <v>3.0</v>
      </c>
      <c r="G397" s="61">
        <v>1.0</v>
      </c>
    </row>
    <row r="398">
      <c r="A398" s="45" t="s">
        <v>375</v>
      </c>
      <c r="B398" s="45" t="s">
        <v>638</v>
      </c>
      <c r="C398" s="45" t="s">
        <v>172</v>
      </c>
      <c r="D398" s="61">
        <v>0.2</v>
      </c>
      <c r="E398" s="61">
        <v>1.0</v>
      </c>
      <c r="F398" s="61">
        <v>2.0</v>
      </c>
      <c r="G398" s="61">
        <v>2.0</v>
      </c>
    </row>
    <row r="399">
      <c r="A399" s="45" t="s">
        <v>375</v>
      </c>
      <c r="B399" s="45" t="s">
        <v>639</v>
      </c>
      <c r="C399" s="45" t="s">
        <v>145</v>
      </c>
      <c r="D399" s="45">
        <v>0.5</v>
      </c>
      <c r="E399" s="61">
        <v>1.0</v>
      </c>
      <c r="F399" s="61">
        <v>2.0</v>
      </c>
      <c r="G399" s="61">
        <v>3.0</v>
      </c>
    </row>
    <row r="400">
      <c r="A400" s="45" t="s">
        <v>375</v>
      </c>
      <c r="B400" s="45" t="s">
        <v>606</v>
      </c>
      <c r="C400" s="45" t="s">
        <v>80</v>
      </c>
      <c r="D400" s="61">
        <v>0.2</v>
      </c>
      <c r="E400" s="61">
        <v>1.0</v>
      </c>
      <c r="F400" s="61">
        <v>1.0</v>
      </c>
      <c r="G400" s="61">
        <v>4.0</v>
      </c>
    </row>
    <row r="401">
      <c r="A401" s="45" t="s">
        <v>375</v>
      </c>
      <c r="B401" s="45" t="s">
        <v>640</v>
      </c>
      <c r="C401" s="45" t="s">
        <v>80</v>
      </c>
      <c r="D401" s="61">
        <v>0.2</v>
      </c>
      <c r="E401" s="61">
        <v>1.0</v>
      </c>
      <c r="F401" s="61">
        <v>1.0</v>
      </c>
      <c r="G401" s="61">
        <v>5.0</v>
      </c>
    </row>
    <row r="402">
      <c r="A402" s="45" t="s">
        <v>375</v>
      </c>
      <c r="B402" s="45" t="s">
        <v>641</v>
      </c>
      <c r="C402" s="45" t="s">
        <v>142</v>
      </c>
      <c r="D402" s="61">
        <v>1.0</v>
      </c>
      <c r="E402" s="61">
        <v>1.0</v>
      </c>
      <c r="F402" s="61">
        <v>2.0</v>
      </c>
      <c r="G402" s="61">
        <v>6.0</v>
      </c>
    </row>
    <row r="403">
      <c r="A403" s="45" t="s">
        <v>375</v>
      </c>
      <c r="B403" s="45" t="s">
        <v>642</v>
      </c>
      <c r="C403" s="45" t="s">
        <v>152</v>
      </c>
      <c r="D403" s="61">
        <v>0.4</v>
      </c>
      <c r="E403" s="61">
        <v>1.0</v>
      </c>
      <c r="F403" s="61">
        <v>1.0</v>
      </c>
      <c r="G403" s="61">
        <v>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1.88"/>
    <col customWidth="1" min="3" max="3" width="21.5"/>
    <col customWidth="1" min="4" max="4" width="17.5"/>
    <col customWidth="1" min="5" max="5" width="19.38"/>
    <col customWidth="1" min="6" max="6" width="15.88"/>
    <col customWidth="1" min="7" max="7" width="13.63"/>
    <col customWidth="1" min="8" max="8" width="26.0"/>
    <col customWidth="1" min="9" max="9" width="10.13"/>
    <col customWidth="1" min="10" max="10" width="15.88"/>
    <col customWidth="1" min="11" max="11" width="12.38"/>
    <col customWidth="1" min="12" max="12" width="9.38"/>
    <col customWidth="1" min="13" max="13" width="26.0"/>
    <col customWidth="1" min="14" max="14" width="12.13"/>
    <col customWidth="1" min="15" max="15" width="12.5"/>
    <col customWidth="1" min="16" max="16" width="12.38"/>
    <col customWidth="1" min="17" max="17" width="9.38"/>
  </cols>
  <sheetData>
    <row r="1">
      <c r="A1" s="73" t="s">
        <v>548</v>
      </c>
      <c r="B1" s="74"/>
      <c r="C1" s="74"/>
      <c r="D1" s="75"/>
      <c r="E1" s="76"/>
      <c r="F1" s="76"/>
      <c r="G1" s="76"/>
      <c r="H1" s="76"/>
      <c r="I1" s="76"/>
    </row>
    <row r="2">
      <c r="A2" s="77" t="s">
        <v>550</v>
      </c>
      <c r="B2" s="78" t="s">
        <v>375</v>
      </c>
      <c r="C2" s="79" t="s">
        <v>554</v>
      </c>
      <c r="D2" s="79" t="s">
        <v>555</v>
      </c>
      <c r="E2" s="76"/>
      <c r="F2" s="76"/>
      <c r="G2" s="76"/>
      <c r="H2" s="76"/>
      <c r="I2" s="76"/>
    </row>
    <row r="3">
      <c r="A3" s="77" t="s">
        <v>556</v>
      </c>
      <c r="B3" s="80">
        <v>0.2</v>
      </c>
      <c r="C3" s="76"/>
      <c r="D3" s="76"/>
      <c r="E3" s="76"/>
      <c r="F3" s="76"/>
      <c r="G3" s="76"/>
      <c r="H3" s="76"/>
      <c r="I3" s="76"/>
    </row>
    <row r="4">
      <c r="A4" s="77" t="s">
        <v>557</v>
      </c>
      <c r="B4" s="81">
        <f>B3*60</f>
        <v>12</v>
      </c>
      <c r="C4" s="76"/>
      <c r="D4" s="76"/>
      <c r="E4" s="76"/>
      <c r="F4" s="76"/>
      <c r="G4" s="76"/>
      <c r="H4" s="76"/>
      <c r="I4" s="76"/>
    </row>
    <row r="5">
      <c r="A5" s="70"/>
      <c r="B5" s="76"/>
      <c r="C5" s="76"/>
      <c r="D5" s="76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</row>
    <row r="6">
      <c r="A6" s="83"/>
      <c r="B6" s="84"/>
      <c r="C6" s="84"/>
      <c r="D6" s="85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</row>
    <row r="7">
      <c r="A7" s="86" t="s">
        <v>559</v>
      </c>
      <c r="B7" s="87"/>
      <c r="C7" s="87"/>
      <c r="D7" s="88"/>
      <c r="E7" s="89" t="s">
        <v>560</v>
      </c>
      <c r="F7" s="90"/>
      <c r="G7" s="91"/>
      <c r="H7" s="89" t="s">
        <v>561</v>
      </c>
      <c r="I7" s="90"/>
      <c r="J7" s="90"/>
      <c r="K7" s="90"/>
      <c r="L7" s="91"/>
      <c r="M7" s="92" t="s">
        <v>562</v>
      </c>
      <c r="N7" s="90"/>
      <c r="O7" s="90"/>
      <c r="P7" s="90"/>
      <c r="Q7" s="91"/>
    </row>
    <row r="8">
      <c r="A8" s="93" t="s">
        <v>563</v>
      </c>
      <c r="B8" s="94">
        <f>SUM(D17:D100)</f>
        <v>7</v>
      </c>
      <c r="C8" s="93" t="s">
        <v>564</v>
      </c>
      <c r="D8" s="95" t="s">
        <v>32</v>
      </c>
      <c r="E8" s="96" t="s">
        <v>566</v>
      </c>
      <c r="F8" s="96" t="s">
        <v>567</v>
      </c>
      <c r="G8" s="97" t="s">
        <v>568</v>
      </c>
      <c r="H8" s="96" t="s">
        <v>569</v>
      </c>
      <c r="I8" s="98" t="s">
        <v>570</v>
      </c>
      <c r="J8" s="98" t="s">
        <v>571</v>
      </c>
      <c r="K8" s="98" t="s">
        <v>572</v>
      </c>
      <c r="L8" s="98" t="s">
        <v>573</v>
      </c>
      <c r="M8" s="99" t="s">
        <v>574</v>
      </c>
      <c r="N8" s="99" t="s">
        <v>570</v>
      </c>
      <c r="O8" s="100" t="s">
        <v>571</v>
      </c>
      <c r="P8" s="100" t="s">
        <v>572</v>
      </c>
      <c r="Q8" s="100" t="s">
        <v>573</v>
      </c>
    </row>
    <row r="9">
      <c r="A9" s="101" t="s">
        <v>575</v>
      </c>
      <c r="B9" s="101">
        <f>SUM(H17:H100)</f>
        <v>7</v>
      </c>
      <c r="C9" s="101" t="s">
        <v>576</v>
      </c>
      <c r="D9" s="102">
        <f>SUMIF(B17:B100, "物質操縱*", D17:D100)</f>
        <v>1</v>
      </c>
      <c r="E9" s="103" t="str">
        <f>IFERROR(__xludf.DUMMYFUNCTION("IFERROR(UNIQUE(FILTER('計算機參數庫'!$B$2:$B$1002, ('計算機參數庫'!$A$2:$A$1002=$B$2) * ('計算機參數庫'!$C$2:$C$1002=""攪拌機""))), ""無"")"),"無")</f>
        <v>無</v>
      </c>
      <c r="F9" s="104" t="str">
        <f>IF(E9="無", "-", IF(E9="", "", "攪拌機專線 (1:1)"))</f>
        <v>-</v>
      </c>
      <c r="G9" s="104">
        <f>IF(E9="無", 0, IF(E9="", "", SUMIF($A$17:$A$100, E9, $D$17:$D$100)*1))</f>
        <v>0</v>
      </c>
      <c r="H9" s="105" t="str">
        <f>IFERROR(__xludf.DUMMYFUNCTION("IFERROR(UNIQUE(FILTER('計算機參數庫'!$B$2:$B$1002, ('計算機參數庫'!$A$2:$A$1002=$B$2) * ('計算機參數庫'!$C$2:$C$1002=""注入機""))), ""無"")"),"注入醋")</f>
        <v>注入醋</v>
      </c>
      <c r="I9" s="104">
        <f>IF(OR(H9="無", H9=""), "", IF(H9="炙烈紅油", SUMIF($A$17:$A$100, "*組裝*", $D$17:$D$100)*1 + SUMIFS($D$17:$D$100, $B$17:$B$100, "混合機")*0.5, 1))</f>
        <v>1</v>
      </c>
      <c r="J9" s="105">
        <f>IF(OR(H9="無", H9="", I9=""), "", INT(I9/8) + IF(MOD(I9, 8) &gt; IF(N11&gt;0, 2, 6), 1, 0))</f>
        <v>0</v>
      </c>
      <c r="K9" s="105">
        <f>IF(OR(H9="無", H9="", I9=""), "", _xlfn.CEILING.MATH(IF(MOD(I9, 8) &gt; IF(N11&gt;0, 2, 6), 0, MOD(I9, 8)) / 2))</f>
        <v>1</v>
      </c>
      <c r="L9" s="119">
        <f t="shared" ref="L9:L10" si="1">IF(J9="", "", J9)</f>
        <v>0</v>
      </c>
      <c r="M9" s="122" t="s">
        <v>160</v>
      </c>
      <c r="N9" s="135">
        <f>MAX(IFERROR(SUMIFS('計算機參數庫'!$K$2:$K$1001, '計算機參數庫'!$I$2:$I$1001, $B$2, '計算機參數庫'!$J$2:$J$1001, "水") * ($B$3 / 0.2), 0), SUMIF(B17:B100, "煮鍋", D17:D100) + _xlfn.CEILING.MATH((SUMIFS(D17:D100, B17:B100, "混合機", A17:A100, "*麵包*") + SUMIFS(D17:D100, B17:B100, "混合機", A17:A100, "*黃油*")) / 2, 1))</f>
        <v>1</v>
      </c>
      <c r="O9" s="139">
        <f>IF(N9=0, 0, INT(N9/8) + IF(MOD(N9, 8) &gt; IF(N11&gt;0, 2, 6), 1, 0))</f>
        <v>0</v>
      </c>
      <c r="P9" s="139">
        <f>IF(N9=0, 0, _xlfn.CEILING.MATH(IF(MOD(N9, 8) &gt; IF(N11&gt;0, 2, 6), 0, MOD(N9, 8)) / 2))</f>
        <v>1</v>
      </c>
      <c r="Q9" s="140">
        <f t="shared" ref="Q9:Q11" si="2">O9</f>
        <v>0</v>
      </c>
    </row>
    <row r="10">
      <c r="A10" s="93" t="s">
        <v>601</v>
      </c>
      <c r="B10" s="94">
        <f>Q13</f>
        <v>4</v>
      </c>
      <c r="C10" s="94" t="str">
        <f>IF(D2="一級常規 (4 FV/s)", "所需虛空熔爐 [常規 4FV/s]", "所需虛空熔爐 [超頻 16FV/s]")</f>
        <v>所需虛空熔爐 [超頻 16FV/s]</v>
      </c>
      <c r="D10" s="95">
        <f>ROUNDUP((B9 + B10 + B11) / IF(D2="一級常規 (4 FV/s)", 3.5, 14), 0)</f>
        <v>1</v>
      </c>
      <c r="E10" s="141"/>
      <c r="F10" s="142" t="str">
        <f>IF(OR(E10="", E10="無"), "", "攪拌機專線 (1:1)")</f>
        <v/>
      </c>
      <c r="G10" s="142" t="str">
        <f>IF(OR(E10="", E10="無"), "", SUMIF($A$17:$A$100, E10, $D$17:$D$100)*1)</f>
        <v/>
      </c>
      <c r="H10" s="143"/>
      <c r="I10" s="142"/>
      <c r="J10" s="143" t="str">
        <f>IF(OR(H10="", H10="無", I10=""), "", INT(I10/8) + IF(MOD(I10, 8) &gt; IF(N11&gt;0, 2, 6), 1, 0))</f>
        <v/>
      </c>
      <c r="K10" s="143" t="str">
        <f>IF(OR(H10="", H10="無", I10=""), "", _xlfn.CEILING.MATH(IF(MOD(I10, 8) &gt; IF(N11&gt;0, 2, 6), 0, MOD(I10, 8)) / 2))</f>
        <v/>
      </c>
      <c r="L10" s="144" t="str">
        <f t="shared" si="1"/>
        <v/>
      </c>
      <c r="M10" s="145" t="s">
        <v>163</v>
      </c>
      <c r="N10" s="146">
        <f>MAX(IFERROR(SUMIFS('計算機參數庫'!$K$2:$K$1001, '計算機參數庫'!$I$2:$I$1001, $B$2, '計算機參數庫'!$J$2:$J$1001, "油") * ($B$3 / 0.2), 0), SUMIF(B17:B100, "油炸鍋", D17:D100) + _xlfn.CEILING.MATH(SUMIFS(D17:D100, B17:B100, "混合機", A17:A100, "*玉米餅*") / 2, 1))</f>
        <v>0</v>
      </c>
      <c r="O10" s="147">
        <f>IF(N10=0, 0, INT(N10/8) + IF(MOD(N10, 8) &gt; IF(N11&gt;0, 2, 6), 1, 0))</f>
        <v>0</v>
      </c>
      <c r="P10" s="147">
        <f>IF(N10=0, 0, _xlfn.CEILING.MATH(IF(MOD(N10, 8) &gt; IF(N11&gt;0, 2, 6), 0, MOD(N10, 8)) / 2))</f>
        <v>0</v>
      </c>
      <c r="Q10" s="148">
        <f t="shared" si="2"/>
        <v>0</v>
      </c>
    </row>
    <row r="11">
      <c r="A11" s="149" t="s">
        <v>603</v>
      </c>
      <c r="B11" s="150">
        <f>D9*1</f>
        <v>1</v>
      </c>
      <c r="C11" s="150" t="s">
        <v>604</v>
      </c>
      <c r="D11" s="151">
        <f>D10*0.1</f>
        <v>0.1</v>
      </c>
      <c r="E11" s="103"/>
      <c r="F11" s="104"/>
      <c r="G11" s="104"/>
      <c r="H11" s="105"/>
      <c r="I11" s="104"/>
      <c r="J11" s="105"/>
      <c r="K11" s="105"/>
      <c r="L11" s="119"/>
      <c r="M11" s="152" t="s">
        <v>158</v>
      </c>
      <c r="N11" s="153">
        <f>SUMIF(B17:B100, "物質操縱*", D17:D100)*1 + Q9 + Q10 + SUM(L9:L13) + IF(D2="一級常規 (4 FV/s)", 0, ROUNDUP(D10/2, 0)*1)</f>
        <v>2</v>
      </c>
      <c r="O11" s="154">
        <f>IF(N11=0, 0, INT(N11/7) + IF(MOD(N11,7)&gt;2, 1, 0))</f>
        <v>0</v>
      </c>
      <c r="P11" s="154">
        <f>IF(N11=0, 0, IF(AND(MOD(N11,7)&gt;0, MOD(N11,7)&lt;=2), 1, 0))</f>
        <v>1</v>
      </c>
      <c r="Q11" s="155">
        <f t="shared" si="2"/>
        <v>0</v>
      </c>
    </row>
    <row r="12">
      <c r="A12" s="156" t="s">
        <v>608</v>
      </c>
      <c r="B12" s="157">
        <f>D12*1</f>
        <v>1</v>
      </c>
      <c r="C12" s="157" t="s">
        <v>610</v>
      </c>
      <c r="D12" s="158">
        <f>ROUNDUP(D10/2, 0)</f>
        <v>1</v>
      </c>
      <c r="E12" s="159"/>
      <c r="F12" s="160"/>
      <c r="G12" s="160"/>
      <c r="H12" s="161"/>
      <c r="I12" s="160"/>
      <c r="J12" s="161"/>
      <c r="K12" s="161"/>
      <c r="L12" s="162"/>
      <c r="M12" s="163" t="s">
        <v>613</v>
      </c>
      <c r="N12" s="164" t="s">
        <v>614</v>
      </c>
      <c r="O12" s="165">
        <f t="shared" ref="O12:P12" si="3">SUM(O9:O11) + SUM(J9:J13)</f>
        <v>0</v>
      </c>
      <c r="P12" s="165">
        <f t="shared" si="3"/>
        <v>3</v>
      </c>
      <c r="Q12" s="166">
        <f>SUM(Q9:Q11) + SUM(L9:L13) + IF(D2="一級常規 (4 FV/s)", 0, ROUNDUP(D10/2, 0))</f>
        <v>1</v>
      </c>
    </row>
    <row r="13">
      <c r="A13" s="167" t="s">
        <v>618</v>
      </c>
      <c r="B13" s="168">
        <f>SUM(B9:B12)</f>
        <v>13</v>
      </c>
      <c r="C13" s="169" t="s">
        <v>619</v>
      </c>
      <c r="D13" s="170">
        <f>SUM(F17:F100) + D9 + D10 + D12 + B10</f>
        <v>19</v>
      </c>
      <c r="E13" s="171"/>
      <c r="F13" s="171"/>
      <c r="G13" s="172"/>
      <c r="H13" s="173"/>
      <c r="I13" s="172"/>
      <c r="J13" s="173"/>
      <c r="K13" s="173"/>
      <c r="L13" s="174"/>
      <c r="M13" s="175" t="s">
        <v>620</v>
      </c>
      <c r="N13" s="176" t="s">
        <v>621</v>
      </c>
      <c r="O13" s="177" t="s">
        <v>32</v>
      </c>
      <c r="P13" s="177" t="s">
        <v>32</v>
      </c>
      <c r="Q13" s="178">
        <f>(O12 + P12 + Q12)*1</f>
        <v>4</v>
      </c>
    </row>
    <row r="14">
      <c r="A14" s="179"/>
    </row>
    <row r="15">
      <c r="A15" s="180" t="s">
        <v>623</v>
      </c>
      <c r="B15" s="181"/>
      <c r="C15" s="181"/>
      <c r="D15" s="181"/>
      <c r="E15" s="181"/>
      <c r="F15" s="181"/>
      <c r="G15" s="181"/>
      <c r="H15" s="181"/>
      <c r="I15" s="181"/>
      <c r="J15" s="182"/>
    </row>
    <row r="16">
      <c r="A16" s="183" t="s">
        <v>510</v>
      </c>
      <c r="B16" s="183" t="s">
        <v>511</v>
      </c>
      <c r="C16" s="184" t="s">
        <v>624</v>
      </c>
      <c r="D16" s="185" t="s">
        <v>625</v>
      </c>
      <c r="E16" s="185" t="s">
        <v>626</v>
      </c>
      <c r="F16" s="185" t="s">
        <v>627</v>
      </c>
      <c r="G16" s="186" t="s">
        <v>628</v>
      </c>
      <c r="H16" s="186" t="s">
        <v>629</v>
      </c>
      <c r="I16" s="185" t="s">
        <v>630</v>
      </c>
      <c r="J16" s="183" t="s">
        <v>631</v>
      </c>
    </row>
    <row r="17">
      <c r="A17" s="187" t="str">
        <f>IFERROR(__xludf.DUMMYFUNCTION("IFERROR(FILTER('計算機參數庫'!B2:D1001, '計算機參數庫'!A2:A1001 = $B$2), """")"),"終端組裝")</f>
        <v>終端組裝</v>
      </c>
      <c r="B17" s="187" t="str">
        <f>IFERROR(__xludf.DUMMYFUNCTION("""COMPUTED_VALUE"""),"自動廚師機")</f>
        <v>自動廚師機</v>
      </c>
      <c r="C17" s="188">
        <f>IFERROR(__xludf.DUMMYFUNCTION("""COMPUTED_VALUE"""),0.2)</f>
        <v>0.2</v>
      </c>
      <c r="D17" s="189">
        <f t="shared" ref="D17:D40" si="4">IF(A17="", "", ROUNDUP($B$3 / C17, 0))</f>
        <v>1</v>
      </c>
      <c r="E17" s="189">
        <f>IF(A17="", "", VLOOKUP(B17, '機器設備'!$B$2:$C$100, 2, FALSE))</f>
        <v>3</v>
      </c>
      <c r="F17" s="189">
        <f t="shared" ref="F17:F40" si="5">IF(A17="", "", D17*E17)</f>
        <v>3</v>
      </c>
      <c r="G17" s="191">
        <f>IF(A17="", "", VLOOKUP(B17, '機器設備'!$B$2:$D$100, 3, FALSE))</f>
        <v>1</v>
      </c>
      <c r="H17" s="191">
        <f t="shared" ref="H17:H40" si="6">IF(A17="", "", D17*G17)</f>
        <v>1</v>
      </c>
      <c r="I17" s="189">
        <f t="shared" ref="I17:I30" si="7">IF(A17="", "", D17 / IFERROR(GCD($D$17:$D$100), 1))</f>
        <v>1</v>
      </c>
      <c r="J17" s="187" t="str">
        <f t="shared" ref="J17:J40" si="8">IF(A17="", "", IF(B17="自動廚師機", "終端出餐 (大炮發射)", IF(B17="攪拌機", IF(I17=1, "1:1 專線通液 (1 fl/s)", IF(I17=2, "雙路專線通液 (各 1 fl/s)", "多路專線通液")), IF(I17=1, "1:1 對等直連", IF(I17=2, "1分2均等分流(自帶雙口)", "專用分流器拓撲")))))</f>
        <v>終端出餐 (大炮發射)</v>
      </c>
      <c r="K17" s="192"/>
      <c r="L17" s="192"/>
      <c r="M17" s="192"/>
      <c r="N17" s="192"/>
      <c r="O17" s="192"/>
      <c r="P17" s="192"/>
      <c r="Q17" s="192"/>
    </row>
    <row r="18">
      <c r="A18" s="187" t="str">
        <f>IFERROR(__xludf.DUMMYFUNCTION("""COMPUTED_VALUE"""),"注入醋")</f>
        <v>注入醋</v>
      </c>
      <c r="B18" s="187" t="str">
        <f>IFERROR(__xludf.DUMMYFUNCTION("""COMPUTED_VALUE"""),"注入機")</f>
        <v>注入機</v>
      </c>
      <c r="C18" s="188">
        <f>IFERROR(__xludf.DUMMYFUNCTION("""COMPUTED_VALUE"""),0.2)</f>
        <v>0.2</v>
      </c>
      <c r="D18" s="189">
        <f t="shared" si="4"/>
        <v>1</v>
      </c>
      <c r="E18" s="189">
        <f>IF(A18="", "", VLOOKUP(B18, '機器設備'!$B$2:$C$100, 2, FALSE))</f>
        <v>2</v>
      </c>
      <c r="F18" s="189">
        <f t="shared" si="5"/>
        <v>2</v>
      </c>
      <c r="G18" s="191">
        <f>IF(A18="", "", VLOOKUP(B18, '機器設備'!$B$2:$D$100, 3, FALSE))</f>
        <v>1</v>
      </c>
      <c r="H18" s="191">
        <f t="shared" si="6"/>
        <v>1</v>
      </c>
      <c r="I18" s="189">
        <f t="shared" si="7"/>
        <v>1</v>
      </c>
      <c r="J18" s="187" t="str">
        <f t="shared" si="8"/>
        <v>1:1 對等直連</v>
      </c>
      <c r="K18" s="192"/>
      <c r="L18" s="192"/>
      <c r="M18" s="192"/>
      <c r="N18" s="192"/>
      <c r="O18" s="192"/>
      <c r="P18" s="192"/>
      <c r="Q18" s="192"/>
    </row>
    <row r="19">
      <c r="A19" s="187" t="str">
        <f>IFERROR(__xludf.DUMMYFUNCTION("""COMPUTED_VALUE"""),"發酵甘酒")</f>
        <v>發酵甘酒</v>
      </c>
      <c r="B19" s="187" t="str">
        <f>IFERROR(__xludf.DUMMYFUNCTION("""COMPUTED_VALUE"""),"發酵罐")</f>
        <v>發酵罐</v>
      </c>
      <c r="C19" s="188">
        <f>IFERROR(__xludf.DUMMYFUNCTION("""COMPUTED_VALUE"""),0.5)</f>
        <v>0.5</v>
      </c>
      <c r="D19" s="189">
        <f t="shared" si="4"/>
        <v>1</v>
      </c>
      <c r="E19" s="189">
        <f>IF(A19="", "", VLOOKUP(B19, '機器設備'!$B$2:$C$100, 2, FALSE))</f>
        <v>2</v>
      </c>
      <c r="F19" s="189">
        <f t="shared" si="5"/>
        <v>2</v>
      </c>
      <c r="G19" s="191">
        <f>IF(A19="", "", VLOOKUP(B19, '機器設備'!$B$2:$D$100, 3, FALSE))</f>
        <v>1</v>
      </c>
      <c r="H19" s="191">
        <f t="shared" si="6"/>
        <v>1</v>
      </c>
      <c r="I19" s="189">
        <f t="shared" si="7"/>
        <v>1</v>
      </c>
      <c r="J19" s="187" t="str">
        <f t="shared" si="8"/>
        <v>1:1 對等直連</v>
      </c>
      <c r="K19" s="192"/>
      <c r="L19" s="192"/>
      <c r="M19" s="192"/>
      <c r="N19" s="192"/>
      <c r="O19" s="192"/>
      <c r="P19" s="192"/>
      <c r="Q19" s="192"/>
    </row>
    <row r="20">
      <c r="A20" s="187" t="str">
        <f>IFERROR(__xludf.DUMMYFUNCTION("""COMPUTED_VALUE"""),"採收水稻")</f>
        <v>採收水稻</v>
      </c>
      <c r="B20" s="187" t="str">
        <f>IFERROR(__xludf.DUMMYFUNCTION("""COMPUTED_VALUE"""),"收割機")</f>
        <v>收割機</v>
      </c>
      <c r="C20" s="188">
        <f>IFERROR(__xludf.DUMMYFUNCTION("""COMPUTED_VALUE"""),0.2)</f>
        <v>0.2</v>
      </c>
      <c r="D20" s="189">
        <f t="shared" si="4"/>
        <v>1</v>
      </c>
      <c r="E20" s="189">
        <f>IF(A20="", "", VLOOKUP(B20, '機器設備'!$B$2:$C$100, 2, FALSE))</f>
        <v>1</v>
      </c>
      <c r="F20" s="189">
        <f t="shared" si="5"/>
        <v>1</v>
      </c>
      <c r="G20" s="191">
        <f>IF(A20="", "", VLOOKUP(B20, '機器設備'!$B$2:$D$100, 3, FALSE))</f>
        <v>1</v>
      </c>
      <c r="H20" s="191">
        <f t="shared" si="6"/>
        <v>1</v>
      </c>
      <c r="I20" s="189">
        <f t="shared" si="7"/>
        <v>1</v>
      </c>
      <c r="J20" s="187" t="str">
        <f t="shared" si="8"/>
        <v>1:1 對等直連</v>
      </c>
      <c r="K20" s="192"/>
      <c r="L20" s="192"/>
      <c r="M20" s="192"/>
      <c r="N20" s="192"/>
      <c r="O20" s="192"/>
      <c r="P20" s="192"/>
      <c r="Q20" s="192"/>
    </row>
    <row r="21">
      <c r="A21" s="187" t="str">
        <f>IFERROR(__xludf.DUMMYFUNCTION("""COMPUTED_VALUE"""),"採收姜姜")</f>
        <v>採收姜姜</v>
      </c>
      <c r="B21" s="187" t="str">
        <f>IFERROR(__xludf.DUMMYFUNCTION("""COMPUTED_VALUE"""),"收割機")</f>
        <v>收割機</v>
      </c>
      <c r="C21" s="188">
        <f>IFERROR(__xludf.DUMMYFUNCTION("""COMPUTED_VALUE"""),0.2)</f>
        <v>0.2</v>
      </c>
      <c r="D21" s="189">
        <f t="shared" si="4"/>
        <v>1</v>
      </c>
      <c r="E21" s="189">
        <f>IF(A21="", "", VLOOKUP(B21, '機器設備'!$B$2:$C$100, 2, FALSE))</f>
        <v>1</v>
      </c>
      <c r="F21" s="189">
        <f t="shared" si="5"/>
        <v>1</v>
      </c>
      <c r="G21" s="191">
        <f>IF(A21="", "", VLOOKUP(B21, '機器設備'!$B$2:$D$100, 3, FALSE))</f>
        <v>1</v>
      </c>
      <c r="H21" s="191">
        <f t="shared" si="6"/>
        <v>1</v>
      </c>
      <c r="I21" s="189">
        <f t="shared" si="7"/>
        <v>1</v>
      </c>
      <c r="J21" s="187" t="str">
        <f t="shared" si="8"/>
        <v>1:1 對等直連</v>
      </c>
      <c r="K21" s="192"/>
      <c r="L21" s="192"/>
      <c r="M21" s="192"/>
      <c r="N21" s="192"/>
      <c r="O21" s="192"/>
      <c r="P21" s="192"/>
      <c r="Q21" s="192"/>
    </row>
    <row r="22">
      <c r="A22" s="208" t="str">
        <f>IFERROR(__xludf.DUMMYFUNCTION("""COMPUTED_VALUE"""),"研磨E127")</f>
        <v>研磨E127</v>
      </c>
      <c r="B22" s="187" t="str">
        <f>IFERROR(__xludf.DUMMYFUNCTION("""COMPUTED_VALUE"""),"研磨機")</f>
        <v>研磨機</v>
      </c>
      <c r="C22" s="188">
        <f>IFERROR(__xludf.DUMMYFUNCTION("""COMPUTED_VALUE"""),1.0)</f>
        <v>1</v>
      </c>
      <c r="D22" s="189">
        <f t="shared" si="4"/>
        <v>1</v>
      </c>
      <c r="E22" s="189">
        <f>IF(A22="", "", VLOOKUP(B22, '機器設備'!$B$2:$C$100, 2, FALSE))</f>
        <v>2</v>
      </c>
      <c r="F22" s="189">
        <f t="shared" si="5"/>
        <v>2</v>
      </c>
      <c r="G22" s="191">
        <f>IF(A22="", "", VLOOKUP(B22, '機器設備'!$B$2:$D$100, 3, FALSE))</f>
        <v>1</v>
      </c>
      <c r="H22" s="191">
        <f t="shared" si="6"/>
        <v>1</v>
      </c>
      <c r="I22" s="189">
        <f t="shared" si="7"/>
        <v>1</v>
      </c>
      <c r="J22" s="187" t="str">
        <f t="shared" si="8"/>
        <v>1:1 對等直連</v>
      </c>
      <c r="K22" s="192"/>
      <c r="L22" s="192"/>
      <c r="M22" s="192"/>
      <c r="N22" s="192"/>
      <c r="O22" s="192"/>
      <c r="P22" s="192"/>
      <c r="Q22" s="192"/>
    </row>
    <row r="23">
      <c r="A23" s="208" t="str">
        <f>IFERROR(__xludf.DUMMYFUNCTION("""COMPUTED_VALUE"""),"重構粉紅仙子")</f>
        <v>重構粉紅仙子</v>
      </c>
      <c r="B23" s="187" t="str">
        <f>IFERROR(__xludf.DUMMYFUNCTION("""COMPUTED_VALUE"""),"物質操縱機")</f>
        <v>物質操縱機</v>
      </c>
      <c r="C23" s="188">
        <f>IFERROR(__xludf.DUMMYFUNCTION("""COMPUTED_VALUE"""),0.4)</f>
        <v>0.4</v>
      </c>
      <c r="D23" s="189">
        <f t="shared" si="4"/>
        <v>1</v>
      </c>
      <c r="E23" s="189">
        <f>IF(A23="", "", VLOOKUP(B23, '機器設備'!$B$2:$C$100, 2, FALSE))</f>
        <v>1</v>
      </c>
      <c r="F23" s="189">
        <f t="shared" si="5"/>
        <v>1</v>
      </c>
      <c r="G23" s="191">
        <f>IF(A23="", "", VLOOKUP(B23, '機器設備'!$B$2:$D$100, 3, FALSE))</f>
        <v>1</v>
      </c>
      <c r="H23" s="191">
        <f t="shared" si="6"/>
        <v>1</v>
      </c>
      <c r="I23" s="189">
        <f t="shared" si="7"/>
        <v>1</v>
      </c>
      <c r="J23" s="187" t="str">
        <f t="shared" si="8"/>
        <v>1:1 對等直連</v>
      </c>
      <c r="K23" s="192"/>
      <c r="L23" s="192"/>
      <c r="M23" s="192"/>
      <c r="N23" s="192"/>
      <c r="O23" s="192"/>
      <c r="P23" s="192"/>
      <c r="Q23" s="192"/>
    </row>
    <row r="24">
      <c r="A24" s="208"/>
      <c r="B24" s="187"/>
      <c r="C24" s="188"/>
      <c r="D24" s="189" t="str">
        <f t="shared" si="4"/>
        <v/>
      </c>
      <c r="E24" s="189" t="str">
        <f>IF(A24="", "", VLOOKUP(B24, '機器設備'!$B$2:$C$100, 2, FALSE))</f>
        <v/>
      </c>
      <c r="F24" s="189" t="str">
        <f t="shared" si="5"/>
        <v/>
      </c>
      <c r="G24" s="191" t="str">
        <f>IF(A24="", "", VLOOKUP(B24, '機器設備'!$B$2:$D$100, 3, FALSE))</f>
        <v/>
      </c>
      <c r="H24" s="191" t="str">
        <f t="shared" si="6"/>
        <v/>
      </c>
      <c r="I24" s="189" t="str">
        <f t="shared" si="7"/>
        <v/>
      </c>
      <c r="J24" s="187" t="str">
        <f t="shared" si="8"/>
        <v/>
      </c>
      <c r="K24" s="192"/>
      <c r="L24" s="192"/>
      <c r="M24" s="192"/>
      <c r="N24" s="192"/>
      <c r="O24" s="192"/>
      <c r="P24" s="192"/>
      <c r="Q24" s="192"/>
    </row>
    <row r="25">
      <c r="A25" s="208"/>
      <c r="B25" s="187"/>
      <c r="C25" s="188"/>
      <c r="D25" s="189" t="str">
        <f t="shared" si="4"/>
        <v/>
      </c>
      <c r="E25" s="189" t="str">
        <f>IF(A25="", "", VLOOKUP(B25, '機器設備'!$B$2:$C$100, 2, FALSE))</f>
        <v/>
      </c>
      <c r="F25" s="189" t="str">
        <f t="shared" si="5"/>
        <v/>
      </c>
      <c r="G25" s="191" t="str">
        <f>IF(A25="", "", VLOOKUP(B25, '機器設備'!$B$2:$D$100, 3, FALSE))</f>
        <v/>
      </c>
      <c r="H25" s="191" t="str">
        <f t="shared" si="6"/>
        <v/>
      </c>
      <c r="I25" s="189" t="str">
        <f t="shared" si="7"/>
        <v/>
      </c>
      <c r="J25" s="187" t="str">
        <f t="shared" si="8"/>
        <v/>
      </c>
      <c r="K25" s="192"/>
      <c r="L25" s="192"/>
      <c r="M25" s="192"/>
      <c r="N25" s="192"/>
      <c r="O25" s="192"/>
      <c r="P25" s="192"/>
      <c r="Q25" s="192"/>
    </row>
    <row r="26">
      <c r="A26" s="208"/>
      <c r="B26" s="187"/>
      <c r="C26" s="188"/>
      <c r="D26" s="189" t="str">
        <f t="shared" si="4"/>
        <v/>
      </c>
      <c r="E26" s="189" t="str">
        <f>IF(A26="", "", VLOOKUP(B26, '機器設備'!$B$2:$C$100, 2, FALSE))</f>
        <v/>
      </c>
      <c r="F26" s="189" t="str">
        <f t="shared" si="5"/>
        <v/>
      </c>
      <c r="G26" s="191" t="str">
        <f>IF(A26="", "", VLOOKUP(B26, '機器設備'!$B$2:$D$100, 3, FALSE))</f>
        <v/>
      </c>
      <c r="H26" s="191" t="str">
        <f t="shared" si="6"/>
        <v/>
      </c>
      <c r="I26" s="189" t="str">
        <f t="shared" si="7"/>
        <v/>
      </c>
      <c r="J26" s="187" t="str">
        <f t="shared" si="8"/>
        <v/>
      </c>
      <c r="K26" s="192"/>
      <c r="L26" s="192"/>
      <c r="M26" s="192"/>
      <c r="N26" s="192"/>
      <c r="O26" s="192"/>
      <c r="P26" s="192"/>
      <c r="Q26" s="192"/>
    </row>
    <row r="27">
      <c r="A27" s="208"/>
      <c r="B27" s="213"/>
      <c r="C27" s="188"/>
      <c r="D27" s="189" t="str">
        <f t="shared" si="4"/>
        <v/>
      </c>
      <c r="E27" s="189" t="str">
        <f>IF(A27="", "", VLOOKUP(B27, '機器設備'!$B$2:$C$100, 2, FALSE))</f>
        <v/>
      </c>
      <c r="F27" s="189" t="str">
        <f t="shared" si="5"/>
        <v/>
      </c>
      <c r="G27" s="191" t="str">
        <f>IF(A27="", "", VLOOKUP(B27, '機器設備'!$B$2:$D$100, 3, FALSE))</f>
        <v/>
      </c>
      <c r="H27" s="191" t="str">
        <f t="shared" si="6"/>
        <v/>
      </c>
      <c r="I27" s="189" t="str">
        <f t="shared" si="7"/>
        <v/>
      </c>
      <c r="J27" s="187" t="str">
        <f t="shared" si="8"/>
        <v/>
      </c>
      <c r="K27" s="192"/>
      <c r="L27" s="192"/>
      <c r="M27" s="192"/>
      <c r="N27" s="192"/>
      <c r="O27" s="192"/>
      <c r="P27" s="192"/>
      <c r="Q27" s="192"/>
    </row>
    <row r="28">
      <c r="A28" s="208"/>
      <c r="B28" s="187"/>
      <c r="C28" s="188"/>
      <c r="D28" s="189" t="str">
        <f t="shared" si="4"/>
        <v/>
      </c>
      <c r="E28" s="189" t="str">
        <f>IF(A28="", "", VLOOKUP(B28, '機器設備'!$B$2:$C$100, 2, FALSE))</f>
        <v/>
      </c>
      <c r="F28" s="189" t="str">
        <f t="shared" si="5"/>
        <v/>
      </c>
      <c r="G28" s="191" t="str">
        <f>IF(A28="", "", VLOOKUP(B28, '機器設備'!$B$2:$D$100, 3, FALSE))</f>
        <v/>
      </c>
      <c r="H28" s="191" t="str">
        <f t="shared" si="6"/>
        <v/>
      </c>
      <c r="I28" s="189" t="str">
        <f t="shared" si="7"/>
        <v/>
      </c>
      <c r="J28" s="187" t="str">
        <f t="shared" si="8"/>
        <v/>
      </c>
      <c r="K28" s="192"/>
      <c r="L28" s="192"/>
      <c r="M28" s="192"/>
      <c r="N28" s="192"/>
      <c r="O28" s="192"/>
      <c r="P28" s="192"/>
      <c r="Q28" s="192"/>
    </row>
    <row r="29">
      <c r="A29" s="208"/>
      <c r="B29" s="187"/>
      <c r="C29" s="188"/>
      <c r="D29" s="189" t="str">
        <f t="shared" si="4"/>
        <v/>
      </c>
      <c r="E29" s="189" t="str">
        <f>IF(A29="", "", VLOOKUP(B29, '機器設備'!$B$2:$C$100, 2, FALSE))</f>
        <v/>
      </c>
      <c r="F29" s="189" t="str">
        <f t="shared" si="5"/>
        <v/>
      </c>
      <c r="G29" s="191" t="str">
        <f>IF(A29="", "", VLOOKUP(B29, '機器設備'!$B$2:$D$100, 3, FALSE))</f>
        <v/>
      </c>
      <c r="H29" s="191" t="str">
        <f t="shared" si="6"/>
        <v/>
      </c>
      <c r="I29" s="189" t="str">
        <f t="shared" si="7"/>
        <v/>
      </c>
      <c r="J29" s="187" t="str">
        <f t="shared" si="8"/>
        <v/>
      </c>
      <c r="K29" s="192"/>
      <c r="L29" s="192"/>
      <c r="M29" s="192"/>
      <c r="N29" s="192"/>
      <c r="O29" s="192"/>
      <c r="P29" s="192"/>
      <c r="Q29" s="192"/>
    </row>
    <row r="30">
      <c r="A30" s="208"/>
      <c r="B30" s="187"/>
      <c r="C30" s="188"/>
      <c r="D30" s="189" t="str">
        <f t="shared" si="4"/>
        <v/>
      </c>
      <c r="E30" s="189" t="str">
        <f>IF(A30="", "", VLOOKUP(B30, '機器設備'!$B$2:$C$100, 2, FALSE))</f>
        <v/>
      </c>
      <c r="F30" s="189" t="str">
        <f t="shared" si="5"/>
        <v/>
      </c>
      <c r="G30" s="191" t="str">
        <f>IF(A30="", "", VLOOKUP(B30, '機器設備'!$B$2:$D$100, 3, FALSE))</f>
        <v/>
      </c>
      <c r="H30" s="191" t="str">
        <f t="shared" si="6"/>
        <v/>
      </c>
      <c r="I30" s="189" t="str">
        <f t="shared" si="7"/>
        <v/>
      </c>
      <c r="J30" s="187" t="str">
        <f t="shared" si="8"/>
        <v/>
      </c>
      <c r="K30" s="192"/>
      <c r="L30" s="192"/>
      <c r="M30" s="192"/>
      <c r="N30" s="192"/>
      <c r="O30" s="192"/>
      <c r="P30" s="192"/>
      <c r="Q30" s="192"/>
    </row>
    <row r="31">
      <c r="A31" s="208"/>
      <c r="B31" s="187"/>
      <c r="C31" s="188"/>
      <c r="D31" s="189" t="str">
        <f t="shared" si="4"/>
        <v/>
      </c>
      <c r="E31" s="189" t="str">
        <f>IF(A31="", "", VLOOKUP(B31, '機器設備'!$B$2:$C$100, 2, FALSE))</f>
        <v/>
      </c>
      <c r="F31" s="189" t="str">
        <f t="shared" si="5"/>
        <v/>
      </c>
      <c r="G31" s="191" t="str">
        <f>IF(A31="", "", VLOOKUP(B31, '機器設備'!$B$2:$D$100, 3, FALSE))</f>
        <v/>
      </c>
      <c r="H31" s="191" t="str">
        <f t="shared" si="6"/>
        <v/>
      </c>
      <c r="I31" s="189" t="str">
        <f t="shared" ref="I31:I40" si="9">IF(A31="", "", D31 / IFERROR(GCD($D$16:$D$40), 1))</f>
        <v/>
      </c>
      <c r="J31" s="187" t="str">
        <f t="shared" si="8"/>
        <v/>
      </c>
      <c r="K31" s="192"/>
      <c r="L31" s="192"/>
      <c r="M31" s="192"/>
      <c r="N31" s="192"/>
      <c r="O31" s="192"/>
      <c r="P31" s="192"/>
      <c r="Q31" s="192"/>
    </row>
    <row r="32">
      <c r="A32" s="215"/>
      <c r="B32" s="216"/>
      <c r="C32" s="188"/>
      <c r="D32" s="189" t="str">
        <f t="shared" si="4"/>
        <v/>
      </c>
      <c r="E32" s="189" t="str">
        <f>IF(A32="", "", VLOOKUP(B32, '機器設備'!$B$2:$C$100, 2, FALSE))</f>
        <v/>
      </c>
      <c r="F32" s="189" t="str">
        <f t="shared" si="5"/>
        <v/>
      </c>
      <c r="G32" s="191" t="str">
        <f>IF(A32="", "", VLOOKUP(B32, '機器設備'!$B$2:$D$100, 3, FALSE))</f>
        <v/>
      </c>
      <c r="H32" s="191" t="str">
        <f t="shared" si="6"/>
        <v/>
      </c>
      <c r="I32" s="189" t="str">
        <f t="shared" si="9"/>
        <v/>
      </c>
      <c r="J32" s="187" t="str">
        <f t="shared" si="8"/>
        <v/>
      </c>
      <c r="K32" s="192"/>
      <c r="L32" s="192"/>
      <c r="M32" s="192"/>
      <c r="N32" s="192"/>
      <c r="O32" s="192"/>
      <c r="P32" s="192"/>
      <c r="Q32" s="192"/>
    </row>
    <row r="33">
      <c r="A33" s="208"/>
      <c r="B33" s="208"/>
      <c r="C33" s="188"/>
      <c r="D33" s="189" t="str">
        <f t="shared" si="4"/>
        <v/>
      </c>
      <c r="E33" s="189" t="str">
        <f>IF(A33="", "", VLOOKUP(B33, '機器設備'!$B$2:$C$100, 2, FALSE))</f>
        <v/>
      </c>
      <c r="F33" s="189" t="str">
        <f t="shared" si="5"/>
        <v/>
      </c>
      <c r="G33" s="191" t="str">
        <f>IF(A33="", "", VLOOKUP(B33, '機器設備'!$B$2:$D$100, 3, FALSE))</f>
        <v/>
      </c>
      <c r="H33" s="191" t="str">
        <f t="shared" si="6"/>
        <v/>
      </c>
      <c r="I33" s="189" t="str">
        <f t="shared" si="9"/>
        <v/>
      </c>
      <c r="J33" s="187" t="str">
        <f t="shared" si="8"/>
        <v/>
      </c>
      <c r="K33" s="192"/>
      <c r="L33" s="192"/>
      <c r="M33" s="192"/>
      <c r="N33" s="192"/>
      <c r="O33" s="192"/>
      <c r="P33" s="192"/>
      <c r="Q33" s="192"/>
    </row>
    <row r="34">
      <c r="A34" s="215"/>
      <c r="B34" s="215"/>
      <c r="C34" s="217"/>
      <c r="D34" s="218" t="str">
        <f t="shared" si="4"/>
        <v/>
      </c>
      <c r="E34" s="189" t="str">
        <f>IF(A34="", "", VLOOKUP(B34, '機器設備'!$B$2:$C$100, 2, FALSE))</f>
        <v/>
      </c>
      <c r="F34" s="189" t="str">
        <f t="shared" si="5"/>
        <v/>
      </c>
      <c r="G34" s="191" t="str">
        <f>IF(A34="", "", VLOOKUP(B34, '機器設備'!$B$2:$D$100, 3, FALSE))</f>
        <v/>
      </c>
      <c r="H34" s="191" t="str">
        <f t="shared" si="6"/>
        <v/>
      </c>
      <c r="I34" s="189" t="str">
        <f t="shared" si="9"/>
        <v/>
      </c>
      <c r="J34" s="187" t="str">
        <f t="shared" si="8"/>
        <v/>
      </c>
      <c r="K34" s="192"/>
      <c r="L34" s="192"/>
      <c r="M34" s="192"/>
      <c r="N34" s="192"/>
      <c r="O34" s="192"/>
      <c r="P34" s="192"/>
      <c r="Q34" s="192"/>
    </row>
    <row r="35">
      <c r="A35" s="219"/>
      <c r="B35" s="219"/>
      <c r="C35" s="220"/>
      <c r="D35" s="221" t="str">
        <f t="shared" si="4"/>
        <v/>
      </c>
      <c r="E35" s="189" t="str">
        <f>IF(A35="", "", VLOOKUP(B35, '機器設備'!$B$2:$C$100, 2, FALSE))</f>
        <v/>
      </c>
      <c r="F35" s="189" t="str">
        <f t="shared" si="5"/>
        <v/>
      </c>
      <c r="G35" s="191" t="str">
        <f>IF(A35="", "", VLOOKUP(B35, '機器設備'!$B$2:$D$100, 3, FALSE))</f>
        <v/>
      </c>
      <c r="H35" s="191" t="str">
        <f t="shared" si="6"/>
        <v/>
      </c>
      <c r="I35" s="189" t="str">
        <f t="shared" si="9"/>
        <v/>
      </c>
      <c r="J35" s="187" t="str">
        <f t="shared" si="8"/>
        <v/>
      </c>
      <c r="K35" s="192"/>
      <c r="L35" s="192"/>
      <c r="M35" s="192"/>
      <c r="N35" s="192"/>
      <c r="O35" s="192"/>
      <c r="P35" s="192"/>
      <c r="Q35" s="192"/>
    </row>
    <row r="36">
      <c r="A36" s="219"/>
      <c r="B36" s="219"/>
      <c r="C36" s="220"/>
      <c r="D36" s="221" t="str">
        <f t="shared" si="4"/>
        <v/>
      </c>
      <c r="E36" s="189" t="str">
        <f>IF(A36="", "", VLOOKUP(B36, '機器設備'!$B$2:$C$100, 2, FALSE))</f>
        <v/>
      </c>
      <c r="F36" s="189" t="str">
        <f t="shared" si="5"/>
        <v/>
      </c>
      <c r="G36" s="191" t="str">
        <f>IF(A36="", "", VLOOKUP(B36, '機器設備'!$B$2:$D$100, 3, FALSE))</f>
        <v/>
      </c>
      <c r="H36" s="191" t="str">
        <f t="shared" si="6"/>
        <v/>
      </c>
      <c r="I36" s="189" t="str">
        <f t="shared" si="9"/>
        <v/>
      </c>
      <c r="J36" s="187" t="str">
        <f t="shared" si="8"/>
        <v/>
      </c>
      <c r="K36" s="192"/>
      <c r="L36" s="192"/>
      <c r="M36" s="192"/>
      <c r="N36" s="192"/>
      <c r="O36" s="192"/>
      <c r="P36" s="192"/>
      <c r="Q36" s="192"/>
    </row>
    <row r="37">
      <c r="A37" s="222"/>
      <c r="B37" s="222"/>
      <c r="C37" s="223"/>
      <c r="D37" s="224" t="str">
        <f t="shared" si="4"/>
        <v/>
      </c>
      <c r="E37" s="189" t="str">
        <f>IF(A37="", "", VLOOKUP(B37, '機器設備'!$B$2:$C$100, 2, FALSE))</f>
        <v/>
      </c>
      <c r="F37" s="189" t="str">
        <f t="shared" si="5"/>
        <v/>
      </c>
      <c r="G37" s="191" t="str">
        <f>IF(A37="", "", VLOOKUP(B37, '機器設備'!$B$2:$D$100, 3, FALSE))</f>
        <v/>
      </c>
      <c r="H37" s="191" t="str">
        <f t="shared" si="6"/>
        <v/>
      </c>
      <c r="I37" s="189" t="str">
        <f t="shared" si="9"/>
        <v/>
      </c>
      <c r="J37" s="187" t="str">
        <f t="shared" si="8"/>
        <v/>
      </c>
      <c r="K37" s="192"/>
      <c r="L37" s="192"/>
      <c r="M37" s="192"/>
      <c r="N37" s="192"/>
      <c r="O37" s="192"/>
      <c r="P37" s="192"/>
      <c r="Q37" s="192"/>
    </row>
    <row r="38">
      <c r="A38" s="222"/>
      <c r="B38" s="222"/>
      <c r="C38" s="223"/>
      <c r="D38" s="224" t="str">
        <f t="shared" si="4"/>
        <v/>
      </c>
      <c r="E38" s="189" t="str">
        <f>IF(A38="", "", VLOOKUP(B38, '機器設備'!$B$2:$C$100, 2, FALSE))</f>
        <v/>
      </c>
      <c r="F38" s="189" t="str">
        <f t="shared" si="5"/>
        <v/>
      </c>
      <c r="G38" s="191" t="str">
        <f>IF(A38="", "", VLOOKUP(B38, '機器設備'!$B$2:$D$100, 3, FALSE))</f>
        <v/>
      </c>
      <c r="H38" s="191" t="str">
        <f t="shared" si="6"/>
        <v/>
      </c>
      <c r="I38" s="189" t="str">
        <f t="shared" si="9"/>
        <v/>
      </c>
      <c r="J38" s="187" t="str">
        <f t="shared" si="8"/>
        <v/>
      </c>
      <c r="K38" s="192"/>
      <c r="L38" s="192"/>
      <c r="M38" s="192"/>
      <c r="N38" s="192"/>
      <c r="O38" s="192"/>
      <c r="P38" s="192"/>
      <c r="Q38" s="192"/>
    </row>
    <row r="39">
      <c r="A39" s="222"/>
      <c r="B39" s="222"/>
      <c r="C39" s="225"/>
      <c r="D39" s="224" t="str">
        <f t="shared" si="4"/>
        <v/>
      </c>
      <c r="E39" s="189" t="str">
        <f>IF(A39="", "", VLOOKUP(B39, '機器設備'!$B$2:$C$100, 2, FALSE))</f>
        <v/>
      </c>
      <c r="F39" s="189" t="str">
        <f t="shared" si="5"/>
        <v/>
      </c>
      <c r="G39" s="191" t="str">
        <f>IF(A39="", "", VLOOKUP(B39, '機器設備'!$B$2:$D$100, 3, FALSE))</f>
        <v/>
      </c>
      <c r="H39" s="191" t="str">
        <f t="shared" si="6"/>
        <v/>
      </c>
      <c r="I39" s="189" t="str">
        <f t="shared" si="9"/>
        <v/>
      </c>
      <c r="J39" s="187" t="str">
        <f t="shared" si="8"/>
        <v/>
      </c>
      <c r="K39" s="192"/>
      <c r="L39" s="192"/>
      <c r="M39" s="192"/>
      <c r="N39" s="192"/>
      <c r="O39" s="192"/>
      <c r="P39" s="192"/>
      <c r="Q39" s="192"/>
    </row>
    <row r="40">
      <c r="A40" s="187"/>
      <c r="B40" s="187"/>
      <c r="C40" s="188"/>
      <c r="D40" s="189" t="str">
        <f t="shared" si="4"/>
        <v/>
      </c>
      <c r="E40" s="189" t="str">
        <f>IF(A40="", "", VLOOKUP(B40, '機器設備'!$B$2:$C$100, 2, FALSE))</f>
        <v/>
      </c>
      <c r="F40" s="189" t="str">
        <f t="shared" si="5"/>
        <v/>
      </c>
      <c r="G40" s="191" t="str">
        <f>IF(A40="", "", VLOOKUP(B40, '機器設備'!$B$2:$D$100, 3, FALSE))</f>
        <v/>
      </c>
      <c r="H40" s="191" t="str">
        <f t="shared" si="6"/>
        <v/>
      </c>
      <c r="I40" s="189" t="str">
        <f t="shared" si="9"/>
        <v/>
      </c>
      <c r="J40" s="187" t="str">
        <f t="shared" si="8"/>
        <v/>
      </c>
      <c r="K40" s="192"/>
      <c r="L40" s="192"/>
      <c r="M40" s="192"/>
      <c r="N40" s="192"/>
      <c r="O40" s="192"/>
      <c r="P40" s="192"/>
      <c r="Q40" s="192"/>
    </row>
    <row r="41">
      <c r="A41" s="219"/>
      <c r="B41" s="219"/>
      <c r="C41" s="220"/>
      <c r="D41" s="221" t="str">
        <f t="shared" ref="D41:D50" si="10">IF(A41="", "", IF(B41="攪拌機", D$16, ROUNDUP($B$3 / C41, 0)))</f>
        <v/>
      </c>
      <c r="E41" s="221" t="str">
        <f>IF(A41="", "", VLOOKUP(A41, '計算機參數庫'!$B$2:$F$1001, 5, FALSE))</f>
        <v/>
      </c>
      <c r="F41" s="221" t="str">
        <f t="shared" ref="F41:F50" si="11">IF(A41="", "", D41 * E41)</f>
        <v/>
      </c>
      <c r="G41" s="191" t="str">
        <f>IF(A41="", "", VLOOKUP(A41, '計算機參數庫'!$B$2:$F$1001, 4, FALSE))</f>
        <v/>
      </c>
      <c r="H41" s="191" t="str">
        <f t="shared" ref="H41:H50" si="12">IF(A41="", "", D41 * G41)</f>
        <v/>
      </c>
      <c r="I41" s="189" t="str">
        <f>IFERROR(__xludf.DUMMYFUNCTION("IFERROR(IF(A41="""", """", D41 / GCD(FILTER($D$16:$D$100, ISNUMBER($D$16:$D$100), $D$16:$D$100&gt;0))), 1)"),"")</f>
        <v/>
      </c>
      <c r="J41" s="187" t="str">
        <f t="shared" ref="J41:J50" si="13">IF(A41="", "", IF(B41="自動廚師機", "終端出餐 (大炮發射)", IF(B41="攪拌機", "1:1 專線通液 (1 fl/s)", IF(D41=D$16, "1:1 對等直連", IF(D41=D$16*2, "1分2均等分流(自帶雙口)", IF(D41&gt;D$16, "專用分流器擴展", "多向匯流共享"))))))</f>
        <v/>
      </c>
      <c r="K41" s="192"/>
      <c r="L41" s="192"/>
      <c r="M41" s="192"/>
      <c r="N41" s="192"/>
      <c r="O41" s="192"/>
      <c r="P41" s="192"/>
      <c r="Q41" s="192"/>
    </row>
    <row r="42">
      <c r="A42" s="219"/>
      <c r="B42" s="219"/>
      <c r="C42" s="220"/>
      <c r="D42" s="221" t="str">
        <f t="shared" si="10"/>
        <v/>
      </c>
      <c r="E42" s="221" t="str">
        <f>IF(A42="", "", VLOOKUP(A42, '計算機參數庫'!$B$2:$F$1001, 5, FALSE))</f>
        <v/>
      </c>
      <c r="F42" s="221" t="str">
        <f t="shared" si="11"/>
        <v/>
      </c>
      <c r="G42" s="191" t="str">
        <f>IF(A42="", "", VLOOKUP(A42, '計算機參數庫'!$B$2:$F$1001, 4, FALSE))</f>
        <v/>
      </c>
      <c r="H42" s="191" t="str">
        <f t="shared" si="12"/>
        <v/>
      </c>
      <c r="I42" s="189" t="str">
        <f>IFERROR(__xludf.DUMMYFUNCTION("IFERROR(IF(A42="""", """", D42 / GCD(FILTER($D$16:$D$100, ISNUMBER($D$16:$D$100), $D$16:$D$100&gt;0))), 1)"),"")</f>
        <v/>
      </c>
      <c r="J42" s="187" t="str">
        <f t="shared" si="13"/>
        <v/>
      </c>
      <c r="K42" s="192"/>
      <c r="L42" s="192"/>
      <c r="M42" s="192"/>
      <c r="N42" s="192"/>
      <c r="O42" s="192"/>
      <c r="P42" s="192"/>
      <c r="Q42" s="192"/>
    </row>
    <row r="43">
      <c r="A43" s="222"/>
      <c r="B43" s="226"/>
      <c r="C43" s="223"/>
      <c r="D43" s="227" t="str">
        <f t="shared" si="10"/>
        <v/>
      </c>
      <c r="E43" s="227" t="str">
        <f>IF(A43="", "", VLOOKUP(A43, '計算機參數庫'!$B$2:$F$1001, 5, FALSE))</f>
        <v/>
      </c>
      <c r="F43" s="227" t="str">
        <f t="shared" si="11"/>
        <v/>
      </c>
      <c r="G43" s="191" t="str">
        <f>IF(A43="", "", VLOOKUP(A43, '計算機參數庫'!$B$2:$F$1001, 4, FALSE))</f>
        <v/>
      </c>
      <c r="H43" s="191" t="str">
        <f t="shared" si="12"/>
        <v/>
      </c>
      <c r="I43" s="189" t="str">
        <f>IFERROR(__xludf.DUMMYFUNCTION("IFERROR(IF(A43="""", """", D43 / GCD(FILTER($D$16:$D$100, ISNUMBER($D$16:$D$100), $D$16:$D$100&gt;0))), 1)"),"")</f>
        <v/>
      </c>
      <c r="J43" s="187" t="str">
        <f t="shared" si="13"/>
        <v/>
      </c>
      <c r="K43" s="192"/>
      <c r="L43" s="192"/>
      <c r="M43" s="192"/>
      <c r="N43" s="192"/>
      <c r="O43" s="192"/>
      <c r="P43" s="192"/>
      <c r="Q43" s="192"/>
    </row>
    <row r="44">
      <c r="A44" s="222"/>
      <c r="B44" s="226"/>
      <c r="C44" s="223"/>
      <c r="D44" s="227" t="str">
        <f t="shared" si="10"/>
        <v/>
      </c>
      <c r="E44" s="227" t="str">
        <f>IF(A44="", "", VLOOKUP(A44, '計算機參數庫'!$B$2:$F$1001, 5, FALSE))</f>
        <v/>
      </c>
      <c r="F44" s="227" t="str">
        <f t="shared" si="11"/>
        <v/>
      </c>
      <c r="G44" s="191" t="str">
        <f>IF(A44="", "", VLOOKUP(A44, '計算機參數庫'!$B$2:$F$1001, 4, FALSE))</f>
        <v/>
      </c>
      <c r="H44" s="191" t="str">
        <f t="shared" si="12"/>
        <v/>
      </c>
      <c r="I44" s="189" t="str">
        <f>IFERROR(__xludf.DUMMYFUNCTION("IFERROR(IF(A44="""", """", D44 / GCD(FILTER($D$16:$D$100, ISNUMBER($D$16:$D$100), $D$16:$D$100&gt;0))), 1)"),"")</f>
        <v/>
      </c>
      <c r="J44" s="187" t="str">
        <f t="shared" si="13"/>
        <v/>
      </c>
      <c r="K44" s="192"/>
      <c r="L44" s="192"/>
      <c r="M44" s="192"/>
      <c r="N44" s="192"/>
      <c r="O44" s="192"/>
      <c r="P44" s="192"/>
      <c r="Q44" s="192"/>
    </row>
    <row r="45">
      <c r="A45" s="222"/>
      <c r="B45" s="226"/>
      <c r="C45" s="223"/>
      <c r="D45" s="227" t="str">
        <f t="shared" si="10"/>
        <v/>
      </c>
      <c r="E45" s="227" t="str">
        <f>IF(A45="", "", VLOOKUP(A45, '計算機參數庫'!$B$2:$F$1001, 5, FALSE))</f>
        <v/>
      </c>
      <c r="F45" s="227" t="str">
        <f t="shared" si="11"/>
        <v/>
      </c>
      <c r="G45" s="191" t="str">
        <f>IF(A45="", "", VLOOKUP(A45, '計算機參數庫'!$B$2:$F$1001, 4, FALSE))</f>
        <v/>
      </c>
      <c r="H45" s="191" t="str">
        <f t="shared" si="12"/>
        <v/>
      </c>
      <c r="I45" s="189" t="str">
        <f>IFERROR(__xludf.DUMMYFUNCTION("IFERROR(IF(A45="""", """", D45 / GCD(FILTER($D$16:$D$100, ISNUMBER($D$16:$D$100), $D$16:$D$100&gt;0))), 1)"),"")</f>
        <v/>
      </c>
      <c r="J45" s="187" t="str">
        <f t="shared" si="13"/>
        <v/>
      </c>
      <c r="K45" s="192"/>
      <c r="L45" s="192"/>
      <c r="M45" s="192"/>
      <c r="N45" s="192"/>
      <c r="O45" s="192"/>
      <c r="P45" s="192"/>
      <c r="Q45" s="192"/>
    </row>
    <row r="46">
      <c r="A46" s="215"/>
      <c r="B46" s="216"/>
      <c r="C46" s="188"/>
      <c r="D46" s="189" t="str">
        <f t="shared" si="10"/>
        <v/>
      </c>
      <c r="E46" s="189" t="str">
        <f>IF(A46="", "", VLOOKUP(A46, '計算機參數庫'!$B$2:$F$1001, 5, FALSE))</f>
        <v/>
      </c>
      <c r="F46" s="189" t="str">
        <f t="shared" si="11"/>
        <v/>
      </c>
      <c r="G46" s="191" t="str">
        <f>IF(A46="", "", VLOOKUP(A46, '計算機參數庫'!$B$2:$F$1001, 4, FALSE))</f>
        <v/>
      </c>
      <c r="H46" s="191" t="str">
        <f t="shared" si="12"/>
        <v/>
      </c>
      <c r="I46" s="189" t="str">
        <f>IFERROR(__xludf.DUMMYFUNCTION("IFERROR(IF(A46="""", """", D46 / GCD(FILTER($D$16:$D$100, ISNUMBER($D$16:$D$100), $D$16:$D$100&gt;0))), 1)"),"")</f>
        <v/>
      </c>
      <c r="J46" s="187" t="str">
        <f t="shared" si="13"/>
        <v/>
      </c>
      <c r="K46" s="192"/>
      <c r="L46" s="192"/>
      <c r="M46" s="192"/>
      <c r="N46" s="192"/>
      <c r="O46" s="192"/>
      <c r="P46" s="192"/>
      <c r="Q46" s="192"/>
    </row>
    <row r="47">
      <c r="A47" s="207"/>
      <c r="B47" s="228"/>
      <c r="C47" s="188"/>
      <c r="D47" s="189" t="str">
        <f t="shared" si="10"/>
        <v/>
      </c>
      <c r="E47" s="189" t="str">
        <f>IF(A47="", "", VLOOKUP(A47, '計算機參數庫'!$B$2:$F$1001, 5, FALSE))</f>
        <v/>
      </c>
      <c r="F47" s="189" t="str">
        <f t="shared" si="11"/>
        <v/>
      </c>
      <c r="G47" s="191" t="str">
        <f>IF(A47="", "", VLOOKUP(A47, '計算機參數庫'!$B$2:$F$1001, 4, FALSE))</f>
        <v/>
      </c>
      <c r="H47" s="191" t="str">
        <f t="shared" si="12"/>
        <v/>
      </c>
      <c r="I47" s="189" t="str">
        <f>IFERROR(__xludf.DUMMYFUNCTION("IFERROR(IF(A47="""", """", D47 / GCD(FILTER($D$16:$D$100, ISNUMBER($D$16:$D$100), $D$16:$D$100&gt;0))), 1)"),"")</f>
        <v/>
      </c>
      <c r="J47" s="187" t="str">
        <f t="shared" si="13"/>
        <v/>
      </c>
      <c r="K47" s="192"/>
      <c r="L47" s="192"/>
      <c r="M47" s="192"/>
      <c r="N47" s="192"/>
      <c r="O47" s="192"/>
      <c r="P47" s="192"/>
      <c r="Q47" s="192"/>
    </row>
    <row r="48">
      <c r="A48" s="207"/>
      <c r="B48" s="228"/>
      <c r="C48" s="188"/>
      <c r="D48" s="189" t="str">
        <f t="shared" si="10"/>
        <v/>
      </c>
      <c r="E48" s="189" t="str">
        <f>IF(A48="", "", VLOOKUP(A48, '計算機參數庫'!$B$2:$F$1001, 5, FALSE))</f>
        <v/>
      </c>
      <c r="F48" s="189" t="str">
        <f t="shared" si="11"/>
        <v/>
      </c>
      <c r="G48" s="191" t="str">
        <f>IF(A48="", "", VLOOKUP(A48, '計算機參數庫'!$B$2:$F$1001, 4, FALSE))</f>
        <v/>
      </c>
      <c r="H48" s="191" t="str">
        <f t="shared" si="12"/>
        <v/>
      </c>
      <c r="I48" s="189" t="str">
        <f>IFERROR(__xludf.DUMMYFUNCTION("IFERROR(IF(A48="""", """", D48 / GCD(FILTER($D$16:$D$100, ISNUMBER($D$16:$D$100), $D$16:$D$100&gt;0))), 1)"),"")</f>
        <v/>
      </c>
      <c r="J48" s="187" t="str">
        <f t="shared" si="13"/>
        <v/>
      </c>
      <c r="K48" s="192"/>
      <c r="L48" s="192"/>
      <c r="M48" s="192"/>
      <c r="N48" s="192"/>
      <c r="O48" s="192"/>
      <c r="P48" s="192"/>
      <c r="Q48" s="192"/>
    </row>
    <row r="49">
      <c r="A49" s="208"/>
      <c r="B49" s="187"/>
      <c r="C49" s="188"/>
      <c r="D49" s="189" t="str">
        <f t="shared" si="10"/>
        <v/>
      </c>
      <c r="E49" s="189" t="str">
        <f>IF(A49="", "", VLOOKUP(A49, '計算機參數庫'!$B$2:$F$1001, 5, FALSE))</f>
        <v/>
      </c>
      <c r="F49" s="189" t="str">
        <f t="shared" si="11"/>
        <v/>
      </c>
      <c r="G49" s="191" t="str">
        <f>IF(A49="", "", VLOOKUP(A49, '計算機參數庫'!$B$2:$F$1001, 4, FALSE))</f>
        <v/>
      </c>
      <c r="H49" s="191" t="str">
        <f t="shared" si="12"/>
        <v/>
      </c>
      <c r="I49" s="189" t="str">
        <f>IFERROR(__xludf.DUMMYFUNCTION("IFERROR(IF(A49="""", """", D49 / GCD(FILTER($D$16:$D$100, ISNUMBER($D$16:$D$100), $D$16:$D$100&gt;0))), 1)"),"")</f>
        <v/>
      </c>
      <c r="J49" s="187" t="str">
        <f t="shared" si="13"/>
        <v/>
      </c>
      <c r="K49" s="192"/>
      <c r="L49" s="192"/>
      <c r="M49" s="192"/>
      <c r="N49" s="192"/>
      <c r="O49" s="192"/>
      <c r="P49" s="192"/>
      <c r="Q49" s="192"/>
    </row>
    <row r="50">
      <c r="A50" s="187"/>
      <c r="B50" s="187"/>
      <c r="C50" s="188"/>
      <c r="D50" s="189" t="str">
        <f t="shared" si="10"/>
        <v/>
      </c>
      <c r="E50" s="189" t="str">
        <f>IF(A50="", "", VLOOKUP(A50, '計算機參數庫'!$B$2:$F$1001, 5, FALSE))</f>
        <v/>
      </c>
      <c r="F50" s="189" t="str">
        <f t="shared" si="11"/>
        <v/>
      </c>
      <c r="G50" s="191" t="str">
        <f>IF(A50="", "", VLOOKUP(A50, '計算機參數庫'!$B$2:$F$1001, 4, FALSE))</f>
        <v/>
      </c>
      <c r="H50" s="191" t="str">
        <f t="shared" si="12"/>
        <v/>
      </c>
      <c r="I50" s="189" t="str">
        <f>IFERROR(__xludf.DUMMYFUNCTION("IFERROR(IF(A50="""", """", D50 / GCD(FILTER($D$16:$D$100, ISNUMBER($D$16:$D$100), $D$16:$D$100&gt;0))), 1)"),"")</f>
        <v/>
      </c>
      <c r="J50" s="187" t="str">
        <f t="shared" si="13"/>
        <v/>
      </c>
      <c r="K50" s="192"/>
      <c r="L50" s="192"/>
      <c r="M50" s="192"/>
      <c r="N50" s="192"/>
      <c r="O50" s="192"/>
      <c r="P50" s="192"/>
      <c r="Q50" s="192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92"/>
      <c r="L51" s="192"/>
      <c r="M51" s="192"/>
      <c r="N51" s="192"/>
      <c r="O51" s="192"/>
      <c r="P51" s="192"/>
      <c r="Q51" s="192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92"/>
      <c r="L52" s="192"/>
      <c r="M52" s="192"/>
      <c r="N52" s="192"/>
      <c r="O52" s="192"/>
      <c r="P52" s="192"/>
      <c r="Q52" s="192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92"/>
      <c r="L53" s="192"/>
      <c r="M53" s="192"/>
      <c r="N53" s="192"/>
      <c r="O53" s="192"/>
      <c r="P53" s="192"/>
      <c r="Q53" s="192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</row>
  </sheetData>
  <mergeCells count="7">
    <mergeCell ref="A1:D1"/>
    <mergeCell ref="A7:D7"/>
    <mergeCell ref="E7:G7"/>
    <mergeCell ref="H7:L7"/>
    <mergeCell ref="M7:Q7"/>
    <mergeCell ref="A14:J14"/>
    <mergeCell ref="A15:J15"/>
  </mergeCells>
  <dataValidations>
    <dataValidation type="list" allowBlank="1" sqref="D2">
      <formula1>"二級超頻 (16 FV/s),一級常規 (4 FV/s)"</formula1>
    </dataValidation>
    <dataValidation type="list" allowBlank="1" showErrorMessage="1" sqref="B2">
      <formula1>'食譜'!$B$2:$B1004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1.88"/>
    <col customWidth="1" min="3" max="3" width="21.5"/>
    <col customWidth="1" min="4" max="4" width="15.13"/>
    <col customWidth="1" min="5" max="5" width="19.38"/>
    <col customWidth="1" min="6" max="6" width="17.63"/>
    <col customWidth="1" min="7" max="7" width="17.5"/>
    <col customWidth="1" min="8" max="8" width="26.0"/>
    <col customWidth="1" min="9" max="9" width="19.38"/>
    <col customWidth="1" min="10" max="10" width="15.63"/>
    <col customWidth="1" min="11" max="11" width="13.63"/>
    <col customWidth="1" min="12" max="12" width="15.5"/>
    <col customWidth="1" min="13" max="13" width="26.0"/>
    <col customWidth="1" min="14" max="14" width="15.63"/>
    <col customWidth="1" min="15" max="15" width="12.5"/>
    <col customWidth="1" min="16" max="16" width="15.88"/>
    <col customWidth="1" min="17" max="17" width="9.38"/>
  </cols>
  <sheetData>
    <row r="1">
      <c r="A1" s="106" t="s">
        <v>548</v>
      </c>
      <c r="B1" s="107"/>
      <c r="C1" s="107"/>
      <c r="D1" s="107"/>
      <c r="E1" s="107"/>
      <c r="F1" s="108"/>
      <c r="G1" s="109"/>
      <c r="H1" s="109"/>
      <c r="I1" s="110"/>
      <c r="J1" s="110"/>
      <c r="K1" s="110"/>
      <c r="L1" s="110"/>
      <c r="M1" s="110"/>
      <c r="N1" s="110"/>
    </row>
    <row r="2">
      <c r="A2" s="111" t="s">
        <v>586</v>
      </c>
      <c r="B2" s="111" t="s">
        <v>509</v>
      </c>
      <c r="C2" s="111" t="s">
        <v>588</v>
      </c>
      <c r="D2" s="111" t="s">
        <v>589</v>
      </c>
      <c r="E2" s="112" t="s">
        <v>554</v>
      </c>
      <c r="F2" s="113" t="s">
        <v>555</v>
      </c>
      <c r="G2" s="110"/>
      <c r="H2" s="110"/>
      <c r="I2" s="110"/>
      <c r="J2" s="110"/>
      <c r="K2" s="110"/>
      <c r="L2" s="110"/>
      <c r="M2" s="110"/>
      <c r="N2" s="110"/>
    </row>
    <row r="3">
      <c r="A3" s="114" t="s">
        <v>592</v>
      </c>
      <c r="B3" s="114" t="s">
        <v>368</v>
      </c>
      <c r="C3" s="115">
        <v>0.2</v>
      </c>
      <c r="D3" s="116">
        <f t="shared" ref="D3:D5" si="1">C3*60</f>
        <v>12</v>
      </c>
      <c r="E3" s="117"/>
      <c r="F3" s="118"/>
      <c r="G3" s="110"/>
      <c r="H3" s="110"/>
      <c r="I3" s="110"/>
      <c r="J3" s="110"/>
      <c r="K3" s="110"/>
      <c r="L3" s="110"/>
      <c r="M3" s="110"/>
      <c r="N3" s="110"/>
    </row>
    <row r="4">
      <c r="A4" s="114" t="s">
        <v>594</v>
      </c>
      <c r="B4" s="114" t="s">
        <v>522</v>
      </c>
      <c r="C4" s="115">
        <v>0.2</v>
      </c>
      <c r="D4" s="116">
        <f t="shared" si="1"/>
        <v>12</v>
      </c>
      <c r="E4" s="117"/>
      <c r="F4" s="118"/>
      <c r="G4" s="110"/>
      <c r="H4" s="110"/>
      <c r="I4" s="110"/>
      <c r="J4" s="110"/>
      <c r="K4" s="110"/>
      <c r="L4" s="110"/>
      <c r="M4" s="110"/>
      <c r="N4" s="110"/>
    </row>
    <row r="5">
      <c r="A5" s="114" t="s">
        <v>595</v>
      </c>
      <c r="B5" s="114" t="s">
        <v>522</v>
      </c>
      <c r="C5" s="115">
        <v>0.2</v>
      </c>
      <c r="D5" s="116">
        <f t="shared" si="1"/>
        <v>12</v>
      </c>
      <c r="E5" s="117"/>
      <c r="F5" s="118"/>
      <c r="G5" s="110"/>
      <c r="H5" s="110"/>
      <c r="I5" s="110"/>
      <c r="J5" s="110"/>
      <c r="K5" s="110"/>
      <c r="L5" s="110"/>
      <c r="M5" s="110"/>
      <c r="N5" s="110"/>
    </row>
    <row r="6">
      <c r="A6" s="120"/>
      <c r="B6" s="120"/>
      <c r="C6" s="121"/>
      <c r="D6" s="123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r="7">
      <c r="A7" s="124" t="s">
        <v>559</v>
      </c>
      <c r="B7" s="125"/>
      <c r="C7" s="125"/>
      <c r="D7" s="126"/>
      <c r="E7" s="127" t="s">
        <v>560</v>
      </c>
      <c r="F7" s="128"/>
      <c r="G7" s="129"/>
      <c r="H7" s="127" t="s">
        <v>561</v>
      </c>
      <c r="I7" s="128"/>
      <c r="J7" s="128"/>
      <c r="K7" s="128"/>
      <c r="L7" s="129"/>
      <c r="M7" s="127" t="s">
        <v>562</v>
      </c>
      <c r="N7" s="128"/>
      <c r="O7" s="128"/>
      <c r="P7" s="128"/>
      <c r="Q7" s="129"/>
    </row>
    <row r="8">
      <c r="A8" s="93" t="s">
        <v>597</v>
      </c>
      <c r="B8" s="130">
        <f>SUM(I17:I100)</f>
        <v>11</v>
      </c>
      <c r="C8" s="93" t="s">
        <v>598</v>
      </c>
      <c r="D8" s="131">
        <f>SUM(J17:J100)</f>
        <v>0</v>
      </c>
      <c r="E8" s="132" t="s">
        <v>566</v>
      </c>
      <c r="F8" s="132" t="s">
        <v>567</v>
      </c>
      <c r="G8" s="132" t="s">
        <v>568</v>
      </c>
      <c r="H8" s="132" t="s">
        <v>569</v>
      </c>
      <c r="I8" s="132" t="s">
        <v>570</v>
      </c>
      <c r="J8" s="133" t="s">
        <v>571</v>
      </c>
      <c r="K8" s="133" t="s">
        <v>572</v>
      </c>
      <c r="L8" s="134" t="s">
        <v>573</v>
      </c>
      <c r="M8" s="136" t="s">
        <v>574</v>
      </c>
      <c r="N8" s="136" t="s">
        <v>570</v>
      </c>
      <c r="O8" s="137" t="s">
        <v>571</v>
      </c>
      <c r="P8" s="137" t="s">
        <v>572</v>
      </c>
      <c r="Q8" s="138" t="s">
        <v>573</v>
      </c>
    </row>
    <row r="9">
      <c r="A9" s="101" t="s">
        <v>599</v>
      </c>
      <c r="B9" s="130">
        <f>SUM(L17:L100)</f>
        <v>11</v>
      </c>
      <c r="C9" s="101" t="s">
        <v>576</v>
      </c>
      <c r="D9" s="131">
        <f>SUMIF(B17:B100, "物質操縱*", I17:I100)</f>
        <v>1</v>
      </c>
      <c r="E9" s="103" t="str">
        <f>IFERROR(__xludf.DUMMYFUNCTION("IFERROR(UNIQUE(FILTER('計算機參數庫'!$B$2:$B$999,(('計算機參數庫'!$A$2:$A$999=$B$3)+('計算機參數庫'!$A$2:$A$999=$B$4)+('計算機參數庫'!$A$2:$A$999=$B$5))*('計算機參數庫'!$C$2:$C$999=""攪拌機""))),""無"")"),"無")</f>
        <v>無</v>
      </c>
      <c r="F9" s="104" t="str">
        <f>IF(E9="無","-",IF(E9="","","攪拌機專線 (1:1)"))</f>
        <v>-</v>
      </c>
      <c r="G9" s="104">
        <f>IF(E9="無",0,IF(E9="","",SUMIF($A$17:$A$100,E9,$I$17:$I$100)*1))</f>
        <v>0</v>
      </c>
      <c r="H9" s="105" t="str">
        <f>IFERROR(__xludf.DUMMYFUNCTION("IFERROR(UNIQUE(FILTER('計算機參數庫'!$B$2:$B$999, (('計算機參數庫'!$A$2:$A$999=$B$3)+('計算機參數庫'!$A$2:$A$999=$B$4)+('計算機參數庫'!$A$2:$A$999=$B$5)) * ('計算機參數庫'!$C$2:$C$999=""注入機""))), """")"),"炙烈紅油")</f>
        <v>炙烈紅油</v>
      </c>
      <c r="I9" s="104">
        <f t="shared" ref="I9:I14" si="2">IF(OR(H9="", H9="無"), "", SUMIF($A$17:$A$100, H9, $I$17:$I$100)*1.5)</f>
        <v>1.5</v>
      </c>
      <c r="J9" s="105">
        <f t="shared" ref="J9:J14" si="3">IF(OR(H9="", H9="無", I9=""), "", INT(I9/8) + IF(MOD(I9, 8) &gt; IF($N$11&gt;0, 2, 6), 1, 0))</f>
        <v>0</v>
      </c>
      <c r="K9" s="105">
        <f t="shared" ref="K9:K14" si="4">IF(OR(H9="", H9="無", I9=""), "", _xlfn.CEILING.MATH(IF(MOD(I9, 8) &gt; IF($N$11&gt;0, 2, 6), 0, MOD(I9, 8)) / 2))</f>
        <v>1</v>
      </c>
      <c r="L9" s="119">
        <f t="shared" ref="L9:L14" si="5">IF(J9="", "", J9)</f>
        <v>0</v>
      </c>
      <c r="M9" s="122" t="s">
        <v>160</v>
      </c>
      <c r="N9" s="135">
        <f>MAX(IFERROR(SUMIFS('計算機參數庫'!$K$2:$K$998, '計算機參數庫'!$I$2:$I$998, $B$3, '計算機參數庫'!$J$2:$J$998, "水") * ($C$3 / 0.2), 0) + IFERROR(SUMIFS('計算機參數庫'!$K$2:$K$998, '計算機參數庫'!$I$2:$I$998, $B$4, '計算機參數庫'!$J$2:$J$998, "水") * ($C$4 / 0.2), 0) + IFERROR(SUMIFS('計算機參數庫'!$K$2:$K$998, '計算機參數庫'!$I$2:$I$998, $B$5, '計算機參數庫'!$J$2:$J$998, "水") * ($C$5 / 0.2), 0), SUMIF(B17:B100, "煮鍋", I17:I100) + _xlfn.CEILING.MATH((SUMIFS(I17:I100, B17:B100, "混合機", A17:A100, "*麵包*") + SUMIFS(I17:I100, B17:B100, "混合機", A17:A100, "*黃油*")) / 2, 1))</f>
        <v>0</v>
      </c>
      <c r="O9" s="139">
        <f>IF(N9=0, 0, INT(N9/8) + IF(MOD(N9,8) &gt; IF(N11&gt;0, 2, 6), 1, 0))</f>
        <v>0</v>
      </c>
      <c r="P9" s="139">
        <f>IF(N9=0, 0, _xlfn.CEILING.MATH(IF(MOD(N9,8) &gt; IF(N11&gt;0, 2, 6), 0, MOD(N9,8)) / 2))</f>
        <v>0</v>
      </c>
      <c r="Q9" s="140">
        <f t="shared" ref="Q9:Q11" si="6">O9</f>
        <v>0</v>
      </c>
    </row>
    <row r="10">
      <c r="A10" s="93" t="s">
        <v>601</v>
      </c>
      <c r="B10" s="130">
        <f>Q13</f>
        <v>4</v>
      </c>
      <c r="C10" s="94" t="str">
        <f>IF(F2="一級常規 (4 FV/s)", "所需虛空熔爐 [常規 4FV/s]", "所需虛空熔爐 [超頻 16FV/s]")</f>
        <v>所需虛空熔爐 [超頻 16FV/s]</v>
      </c>
      <c r="D10" s="131">
        <f>ROUNDUP((B9 + B10 + B11) / IF(F2="一級常規 (4 FV/s)", 3.5, 15), 0)</f>
        <v>2</v>
      </c>
      <c r="E10" s="141"/>
      <c r="F10" s="142" t="str">
        <f t="shared" ref="F10:F14" si="7">IF(OR(E10="",E10="無"),"","攪拌機專線 (1:1)")</f>
        <v/>
      </c>
      <c r="G10" s="142" t="str">
        <f t="shared" ref="G10:G14" si="8">IF(OR(E10="",E10="無"),"",SUMIF($A$17:$A$100,E10,$I$17:$I$100)*1)</f>
        <v/>
      </c>
      <c r="H10" s="143"/>
      <c r="I10" s="142" t="str">
        <f t="shared" si="2"/>
        <v/>
      </c>
      <c r="J10" s="143" t="str">
        <f t="shared" si="3"/>
        <v/>
      </c>
      <c r="K10" s="143" t="str">
        <f t="shared" si="4"/>
        <v/>
      </c>
      <c r="L10" s="144" t="str">
        <f t="shared" si="5"/>
        <v/>
      </c>
      <c r="M10" s="145" t="s">
        <v>163</v>
      </c>
      <c r="N10" s="146">
        <f>MAX(IFERROR(SUMIFS('計算機參數庫'!$K$2:$K$998, '計算機參數庫'!$I$2:$I$998, $B$3, '計算機參數庫'!$J$2:$J$998, "油") * ($C$3 / 0.2), 0) + IFERROR(SUMIFS('計算機參數庫'!$K$2:$K$998, '計算機參數庫'!$I$2:$I$998, $B$4, '計算機參數庫'!$J$2:$J$998, "油") * ($C$4 / 0.2), 0) + IFERROR(SUMIFS('計算機參數庫'!$K$2:$K$998, '計算機參數庫'!$I$2:$I$998, $B$5, '計算機參數庫'!$J$2:$J$998, "油") * ($C$5 / 0.2), 0), SUMIF(B17:B100, "油炸鍋", I17:I100) + _xlfn.CEILING.MATH(SUMIFS(I17:I100, B17:B100, "混合機", A17:A100, "*玉米餅*") / 2, 1))</f>
        <v>1</v>
      </c>
      <c r="O10" s="147">
        <f>IF(N10=0, 0, INT(N10/8) + IF(MOD(N10,8) &gt; IF(N11&gt;0, 2, 6), 1, 0))</f>
        <v>0</v>
      </c>
      <c r="P10" s="147">
        <f>IF(N10=0, 0, _xlfn.CEILING.MATH(IF(MOD(N10,8) &gt; IF(N11&gt;0, 2, 6), 0, MOD(N10,8)) / 2))</f>
        <v>1</v>
      </c>
      <c r="Q10" s="148">
        <f t="shared" si="6"/>
        <v>0</v>
      </c>
    </row>
    <row r="11">
      <c r="A11" s="149" t="s">
        <v>603</v>
      </c>
      <c r="B11" s="130">
        <f>D9*1</f>
        <v>1</v>
      </c>
      <c r="C11" s="150" t="s">
        <v>604</v>
      </c>
      <c r="D11" s="131">
        <f>D10*0.1</f>
        <v>0.2</v>
      </c>
      <c r="E11" s="103"/>
      <c r="F11" s="104" t="str">
        <f t="shared" si="7"/>
        <v/>
      </c>
      <c r="G11" s="104" t="str">
        <f t="shared" si="8"/>
        <v/>
      </c>
      <c r="H11" s="105"/>
      <c r="I11" s="104" t="str">
        <f t="shared" si="2"/>
        <v/>
      </c>
      <c r="J11" s="105" t="str">
        <f t="shared" si="3"/>
        <v/>
      </c>
      <c r="K11" s="105" t="str">
        <f t="shared" si="4"/>
        <v/>
      </c>
      <c r="L11" s="119" t="str">
        <f t="shared" si="5"/>
        <v/>
      </c>
      <c r="M11" s="152" t="s">
        <v>158</v>
      </c>
      <c r="N11" s="153">
        <f>SUMIF(B17:B100, "物質操縱*", I17:I100)*1 + Q9 + Q10 + SUM(L9:L14) + IF(F2="一級常規 (4 FV/s)", 0, ROUNDUP(D10/2, 0)*1)</f>
        <v>2</v>
      </c>
      <c r="O11" s="154">
        <f>IF(N11=0, 0, INT(N11/7) + IF(MOD(N11,7)&gt;2, 1, 0))</f>
        <v>0</v>
      </c>
      <c r="P11" s="154">
        <f>IF(N11=0, 0, IF(AND(MOD(N11,7)&gt;0, MOD(N11,7)&lt;=2), 1, 0))</f>
        <v>1</v>
      </c>
      <c r="Q11" s="155">
        <f t="shared" si="6"/>
        <v>0</v>
      </c>
    </row>
    <row r="12">
      <c r="A12" s="156" t="s">
        <v>608</v>
      </c>
      <c r="B12" s="190">
        <f>D12*1</f>
        <v>1</v>
      </c>
      <c r="C12" s="157" t="s">
        <v>610</v>
      </c>
      <c r="D12" s="131">
        <f>ROUNDUP(D10/2, 0)</f>
        <v>1</v>
      </c>
      <c r="E12" s="159"/>
      <c r="F12" s="160" t="str">
        <f t="shared" si="7"/>
        <v/>
      </c>
      <c r="G12" s="160" t="str">
        <f t="shared" si="8"/>
        <v/>
      </c>
      <c r="H12" s="161"/>
      <c r="I12" s="160" t="str">
        <f t="shared" si="2"/>
        <v/>
      </c>
      <c r="J12" s="161" t="str">
        <f t="shared" si="3"/>
        <v/>
      </c>
      <c r="K12" s="161" t="str">
        <f t="shared" si="4"/>
        <v/>
      </c>
      <c r="L12" s="162" t="str">
        <f t="shared" si="5"/>
        <v/>
      </c>
      <c r="M12" s="163" t="s">
        <v>613</v>
      </c>
      <c r="N12" s="164" t="s">
        <v>614</v>
      </c>
      <c r="O12" s="165">
        <f t="shared" ref="O12:P12" si="9">SUM(O9:O11) + SUM(J9:J14)</f>
        <v>0</v>
      </c>
      <c r="P12" s="165">
        <f t="shared" si="9"/>
        <v>3</v>
      </c>
      <c r="Q12" s="166">
        <f>SUM(Q9:Q11) + SUM(L9:L14) + IF(F2="一級常規 (4 FV/s)", 0, ROUNDUP(D10/2, 0))</f>
        <v>1</v>
      </c>
    </row>
    <row r="13">
      <c r="A13" s="167" t="s">
        <v>618</v>
      </c>
      <c r="B13" s="168">
        <f>SUM(B9:B12)</f>
        <v>17</v>
      </c>
      <c r="C13" s="169" t="s">
        <v>619</v>
      </c>
      <c r="D13" s="170">
        <f>SUM(N17:N100) + D9 + D10 + D12 + B10</f>
        <v>25</v>
      </c>
      <c r="E13" s="171"/>
      <c r="F13" s="171" t="str">
        <f t="shared" si="7"/>
        <v/>
      </c>
      <c r="G13" s="172" t="str">
        <f t="shared" si="8"/>
        <v/>
      </c>
      <c r="H13" s="173"/>
      <c r="I13" s="172" t="str">
        <f t="shared" si="2"/>
        <v/>
      </c>
      <c r="J13" s="173" t="str">
        <f t="shared" si="3"/>
        <v/>
      </c>
      <c r="K13" s="173" t="str">
        <f t="shared" si="4"/>
        <v/>
      </c>
      <c r="L13" s="174" t="str">
        <f t="shared" si="5"/>
        <v/>
      </c>
      <c r="M13" s="175" t="s">
        <v>620</v>
      </c>
      <c r="N13" s="176" t="s">
        <v>621</v>
      </c>
      <c r="O13" s="177" t="s">
        <v>32</v>
      </c>
      <c r="P13" s="177" t="s">
        <v>32</v>
      </c>
      <c r="Q13" s="178">
        <f>(O12 + P12 + Q12)*1</f>
        <v>4</v>
      </c>
    </row>
    <row r="14">
      <c r="A14" s="193"/>
      <c r="B14" s="193"/>
      <c r="C14" s="194"/>
      <c r="D14" s="195"/>
      <c r="E14" s="142"/>
      <c r="F14" s="142" t="str">
        <f t="shared" si="7"/>
        <v/>
      </c>
      <c r="G14" s="142" t="str">
        <f t="shared" si="8"/>
        <v/>
      </c>
      <c r="H14" s="143"/>
      <c r="I14" s="143" t="str">
        <f t="shared" si="2"/>
        <v/>
      </c>
      <c r="J14" s="143" t="str">
        <f t="shared" si="3"/>
        <v/>
      </c>
      <c r="K14" s="142" t="str">
        <f t="shared" si="4"/>
        <v/>
      </c>
      <c r="L14" s="196" t="str">
        <f t="shared" si="5"/>
        <v/>
      </c>
      <c r="M14" s="197"/>
      <c r="N14" s="197"/>
      <c r="O14" s="198"/>
      <c r="P14" s="198"/>
      <c r="Q14" s="198"/>
    </row>
    <row r="15">
      <c r="A15" s="199" t="s">
        <v>643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1"/>
    </row>
    <row r="16">
      <c r="A16" s="202" t="s">
        <v>510</v>
      </c>
      <c r="B16" s="202" t="s">
        <v>644</v>
      </c>
      <c r="C16" s="203" t="s">
        <v>624</v>
      </c>
      <c r="D16" s="204" t="s">
        <v>645</v>
      </c>
      <c r="E16" s="204" t="s">
        <v>646</v>
      </c>
      <c r="F16" s="204" t="s">
        <v>647</v>
      </c>
      <c r="G16" s="204" t="s">
        <v>648</v>
      </c>
      <c r="H16" s="205" t="s">
        <v>649</v>
      </c>
      <c r="I16" s="205" t="s">
        <v>650</v>
      </c>
      <c r="J16" s="205" t="s">
        <v>651</v>
      </c>
      <c r="K16" s="204" t="s">
        <v>628</v>
      </c>
      <c r="L16" s="204" t="s">
        <v>652</v>
      </c>
      <c r="M16" s="205" t="s">
        <v>626</v>
      </c>
      <c r="N16" s="205" t="s">
        <v>653</v>
      </c>
      <c r="O16" s="206" t="s">
        <v>630</v>
      </c>
      <c r="P16" s="206" t="s">
        <v>631</v>
      </c>
    </row>
    <row r="17">
      <c r="A17" s="207" t="str">
        <f>IFERROR(__xludf.DUMMYFUNCTION("IFERROR(UNIQUE(FILTER('計算機參數庫'!B2:C1001, ('計算機參數庫'!A2:A1001=$B$3) + ('計算機參數庫'!A2:A1001=$B$4) + ('計算機參數庫'!A2:A1001=$B$5))), """")"),"終端組裝")</f>
        <v>終端組裝</v>
      </c>
      <c r="B17" s="207" t="str">
        <f>IFERROR(__xludf.DUMMYFUNCTION("""COMPUTED_VALUE"""),"自動廚師機")</f>
        <v>自動廚師機</v>
      </c>
      <c r="C17" s="209">
        <f t="array" ref="C17">IF(A17="", "", IFERROR(INDEX('計算機參數庫'!$D$2:$D$1001, MATCH(1, ('計算機參數庫'!$B$2:$B$1001=A17) * (('計算機參數庫'!$A$2:$A$1001=$B$3) + ('計算機參數庫'!$A$2:$A$1001=$B$4) + ('計算機參數庫'!$A$2:$A$1001=$B$5)), 0)), VLOOKUP(A17, '計算機參數庫'!$B$2:$F$1001, 3, FALSE)))</f>
        <v>0.2</v>
      </c>
      <c r="D17" s="210">
        <f t="array" ref="D17">IF(A17="", "", IF($B$3="(無)", 0, IFERROR($C$3 / INDEX('計算機參數庫'!$D$2:$D$1001, MATCH(1, ('計算機參數庫'!$A$2:$A$1001=$B$3)*('計算機參數庫'!$B$2:$B$1001=A17), 0)), 0)))</f>
        <v>1</v>
      </c>
      <c r="E17" s="210">
        <f t="array" ref="E17">IF(A17="", "", IF($B$4="(無)", 0, IFERROR($C$4 / INDEX('計算機參數庫'!$D$2:$D$1001, MATCH(1, ('計算機參數庫'!$A$2:$A$1001=$B$4)*('計算機參數庫'!$B$2:$B$1001=A17), 0)), 0)))</f>
        <v>0</v>
      </c>
      <c r="F17" s="210">
        <f t="array" ref="F17">IF(A17="", "", IF($B$5="(無)", 0, IFERROR($C$5 / INDEX('計算機參數庫'!$D$2:$D$1001, MATCH(1, ('計算機參數庫'!$A$2:$A$1001=$B$5)*('計算機參數庫'!$B$2:$B$1001=A17), 0)), 0)))</f>
        <v>0</v>
      </c>
      <c r="G17" s="211">
        <f t="shared" ref="G17:G50" si="10">IF(A17="", "", SUM(D17:F17))</f>
        <v>1</v>
      </c>
      <c r="H17" s="212">
        <f t="shared" ref="H17:H50" si="11">IF(A17="", "", _xlfn.CEILING.MATH(D17) + _xlfn.CEILING.MATH(E17) + _xlfn.CEILING.MATH(F17))</f>
        <v>1</v>
      </c>
      <c r="I17" s="214">
        <f t="shared" ref="I17:I100" si="12">IF(A17="", "", IF(G17=0, 0, IF(AND(B17="攪拌機", A17="攪拌蟑螂奶"), MAX(_xlfn.CEILING.MATH(G17, 1), SUMIF(A$17:A$100, "發酵軟質奶酪", I$17:I$100) + _xlfn.CEILING.MATH(SUMIF(A$17:A$100, "混和蟑螂奶油", I$17:I$100)/2, 1)), _xlfn.CEILING.MATH(G17, 1))))</f>
        <v>1</v>
      </c>
      <c r="J17" s="212">
        <f t="shared" ref="J17:J50" si="13">IF(A17="", "", H17-I17)</f>
        <v>0</v>
      </c>
      <c r="K17" s="211">
        <f>IF(A17="", "", VLOOKUP(A17, '計算機參數庫'!$B$2:$F$1001, 4, FALSE))</f>
        <v>1</v>
      </c>
      <c r="L17" s="210">
        <f t="shared" ref="L17:L50" si="14">IF(A17="", "", I17*K17)</f>
        <v>1</v>
      </c>
      <c r="M17" s="214">
        <f>IF(A17="", "", VLOOKUP(A17, '計算機參數庫'!$B$2:$F$1001, 5, FALSE))</f>
        <v>3</v>
      </c>
      <c r="N17" s="212">
        <f t="shared" ref="N17:N50" si="15">IF(A17="", "", I17*M17)</f>
        <v>3</v>
      </c>
      <c r="O17" s="189">
        <f>IFERROR(__xludf.DUMMYFUNCTION("IFERROR(IF(A17="""", """", I17 / GCD(FILTER($I$17:$I$100, ISNUMBER($I$17:$I$100), $I$17:$I$100&gt;0))), 1)"),1.0)</f>
        <v>1</v>
      </c>
      <c r="P17" s="187" t="str">
        <f t="shared" ref="P17:P50" si="16">IF(A17="", "", IF(B17="自動廚師機", "終端出餐 (大炮發射)", IF(B17="攪拌機", "1:1 專線通液 (1 fl/s)", IF(I17=VLOOKUP("終端組裝", $A$17:$I$100, 9, FALSE), "1:1 對等直連", IF(I17=VLOOKUP("終端組裝", $A$17:$I$100, 9, FALSE)*2, "1分2均等分流(自帶雙口)", IF(I17&gt;VLOOKUP("終端組裝", $A$17:$I$100, 9, FALSE), "專用分流器擴展", "多向匯流共享"))))))</f>
        <v>終端出餐 (大炮發射)</v>
      </c>
      <c r="Q17" s="192"/>
    </row>
    <row r="18">
      <c r="A18" s="207" t="str">
        <f>IFERROR(__xludf.DUMMYFUNCTION("""COMPUTED_VALUE"""),"打工小妖炒飯")</f>
        <v>打工小妖炒飯</v>
      </c>
      <c r="B18" s="207" t="str">
        <f>IFERROR(__xludf.DUMMYFUNCTION("""COMPUTED_VALUE"""),"油炸鍋")</f>
        <v>油炸鍋</v>
      </c>
      <c r="C18" s="209">
        <f t="array" ref="C18">IF(A18="", "", IFERROR(INDEX('計算機參數庫'!$D$2:$D$1001, MATCH(1, ('計算機參數庫'!$B$2:$B$1001=A18) * (('計算機參數庫'!$A$2:$A$1001=$B$3) + ('計算機參數庫'!$A$2:$A$1001=$B$4) + ('計算機參數庫'!$A$2:$A$1001=$B$5)), 0)), VLOOKUP(A18, '計算機參數庫'!$B$2:$F$1001, 3, FALSE)))</f>
        <v>0.2</v>
      </c>
      <c r="D18" s="210">
        <f t="array" ref="D18">IF(A18="", "", IF($B$3="(無)", 0, IFERROR($C$3 / INDEX('計算機參數庫'!$D$2:$D$1001, MATCH(1, ('計算機參數庫'!$A$2:$A$1001=$B$3)*('計算機參數庫'!$B$2:$B$1001=A18), 0)), 0)))</f>
        <v>1</v>
      </c>
      <c r="E18" s="210">
        <f t="array" ref="E18">IF(A18="", "", IF($B$4="(無)", 0, IFERROR($C$4 / INDEX('計算機參數庫'!$D$2:$D$1001, MATCH(1, ('計算機參數庫'!$A$2:$A$1001=$B$4)*('計算機參數庫'!$B$2:$B$1001=A18), 0)), 0)))</f>
        <v>0</v>
      </c>
      <c r="F18" s="210">
        <f t="array" ref="F18">IF(A18="", "", IF($B$5="(無)", 0, IFERROR($C$5 / INDEX('計算機參數庫'!$D$2:$D$1001, MATCH(1, ('計算機參數庫'!$A$2:$A$1001=$B$5)*('計算機參數庫'!$B$2:$B$1001=A18), 0)), 0)))</f>
        <v>0</v>
      </c>
      <c r="G18" s="211">
        <f t="shared" si="10"/>
        <v>1</v>
      </c>
      <c r="H18" s="212">
        <f t="shared" si="11"/>
        <v>1</v>
      </c>
      <c r="I18" s="214">
        <f t="shared" si="12"/>
        <v>1</v>
      </c>
      <c r="J18" s="212">
        <f t="shared" si="13"/>
        <v>0</v>
      </c>
      <c r="K18" s="211">
        <f>IF(A18="", "", VLOOKUP(A18, '計算機參數庫'!$B$2:$F$1001, 4, FALSE))</f>
        <v>1</v>
      </c>
      <c r="L18" s="210">
        <f t="shared" si="14"/>
        <v>1</v>
      </c>
      <c r="M18" s="214">
        <f>IF(A18="", "", VLOOKUP(A18, '計算機參數庫'!$B$2:$F$1001, 5, FALSE))</f>
        <v>2</v>
      </c>
      <c r="N18" s="212">
        <f t="shared" si="15"/>
        <v>2</v>
      </c>
      <c r="O18" s="189">
        <f>IFERROR(__xludf.DUMMYFUNCTION("IFERROR(IF(A18="""", """", I18 / GCD(FILTER($I$17:$I$100, ISNUMBER($I$17:$I$100), $I$17:$I$100&gt;0))), 1)"),1.0)</f>
        <v>1</v>
      </c>
      <c r="P18" s="187" t="str">
        <f t="shared" si="16"/>
        <v>1:1 對等直連</v>
      </c>
      <c r="Q18" s="192"/>
    </row>
    <row r="19">
      <c r="A19" s="207" t="str">
        <f>IFERROR(__xludf.DUMMYFUNCTION("""COMPUTED_VALUE"""),"採收水稻")</f>
        <v>採收水稻</v>
      </c>
      <c r="B19" s="207" t="str">
        <f>IFERROR(__xludf.DUMMYFUNCTION("""COMPUTED_VALUE"""),"收割機")</f>
        <v>收割機</v>
      </c>
      <c r="C19" s="209">
        <f t="array" ref="C19">IF(A19="", "", IFERROR(INDEX('計算機參數庫'!$D$2:$D$1001, MATCH(1, ('計算機參數庫'!$B$2:$B$1001=A19) * (('計算機參數庫'!$A$2:$A$1001=$B$3) + ('計算機參數庫'!$A$2:$A$1001=$B$4) + ('計算機參數庫'!$A$2:$A$1001=$B$5)), 0)), VLOOKUP(A19, '計算機參數庫'!$B$2:$F$1001, 3, FALSE)))</f>
        <v>0.2</v>
      </c>
      <c r="D19" s="210">
        <f t="array" ref="D19">IF(A19="", "", IF($B$3="(無)", 0, IFERROR($C$3 / INDEX('計算機參數庫'!$D$2:$D$1001, MATCH(1, ('計算機參數庫'!$A$2:$A$1001=$B$3)*('計算機參數庫'!$B$2:$B$1001=A19), 0)), 0)))</f>
        <v>1</v>
      </c>
      <c r="E19" s="210">
        <f t="array" ref="E19">IF(A19="", "", IF($B$4="(無)", 0, IFERROR($C$4 / INDEX('計算機參數庫'!$D$2:$D$1001, MATCH(1, ('計算機參數庫'!$A$2:$A$1001=$B$4)*('計算機參數庫'!$B$2:$B$1001=A19), 0)), 0)))</f>
        <v>0</v>
      </c>
      <c r="F19" s="210">
        <f t="array" ref="F19">IF(A19="", "", IF($B$5="(無)", 0, IFERROR($C$5 / INDEX('計算機參數庫'!$D$2:$D$1001, MATCH(1, ('計算機參數庫'!$A$2:$A$1001=$B$5)*('計算機參數庫'!$B$2:$B$1001=A19), 0)), 0)))</f>
        <v>0</v>
      </c>
      <c r="G19" s="211">
        <f t="shared" si="10"/>
        <v>1</v>
      </c>
      <c r="H19" s="212">
        <f t="shared" si="11"/>
        <v>1</v>
      </c>
      <c r="I19" s="214">
        <f t="shared" si="12"/>
        <v>1</v>
      </c>
      <c r="J19" s="212">
        <f t="shared" si="13"/>
        <v>0</v>
      </c>
      <c r="K19" s="211">
        <f>IF(A19="", "", VLOOKUP(A19, '計算機參數庫'!$B$2:$F$1001, 4, FALSE))</f>
        <v>1</v>
      </c>
      <c r="L19" s="210">
        <f t="shared" si="14"/>
        <v>1</v>
      </c>
      <c r="M19" s="214">
        <f>IF(A19="", "", VLOOKUP(A19, '計算機參數庫'!$B$2:$F$1001, 5, FALSE))</f>
        <v>1</v>
      </c>
      <c r="N19" s="212">
        <f t="shared" si="15"/>
        <v>1</v>
      </c>
      <c r="O19" s="189">
        <f>IFERROR(__xludf.DUMMYFUNCTION("IFERROR(IF(A19="""", """", I19 / GCD(FILTER($I$17:$I$100, ISNUMBER($I$17:$I$100), $I$17:$I$100&gt;0))), 1)"),1.0)</f>
        <v>1</v>
      </c>
      <c r="P19" s="187" t="str">
        <f t="shared" si="16"/>
        <v>1:1 對等直連</v>
      </c>
      <c r="Q19" s="192"/>
    </row>
    <row r="20">
      <c r="A20" s="207" t="str">
        <f>IFERROR(__xludf.DUMMYFUNCTION("""COMPUTED_VALUE"""),"剝皮鷹身女妖肉")</f>
        <v>剝皮鷹身女妖肉</v>
      </c>
      <c r="B20" s="207" t="str">
        <f>IFERROR(__xludf.DUMMYFUNCTION("""COMPUTED_VALUE"""),"擠出機")</f>
        <v>擠出機</v>
      </c>
      <c r="C20" s="209">
        <f t="array" ref="C20">IF(A20="", "", IFERROR(INDEX('計算機參數庫'!$D$2:$D$1001, MATCH(1, ('計算機參數庫'!$B$2:$B$1001=A20) * (('計算機參數庫'!$A$2:$A$1001=$B$3) + ('計算機參數庫'!$A$2:$A$1001=$B$4) + ('計算機參數庫'!$A$2:$A$1001=$B$5)), 0)), VLOOKUP(A20, '計算機參數庫'!$B$2:$F$1001, 3, FALSE)))</f>
        <v>0.25</v>
      </c>
      <c r="D20" s="211">
        <f t="array" ref="D20">IF(A20="", "", IF($B$3="(無)", 0, IFERROR($C$3 / INDEX('計算機參數庫'!$D$2:$D$1001, MATCH(1, ('計算機參數庫'!$A$2:$A$1001=$B$3)*('計算機參數庫'!$B$2:$B$1001=A20), 0)), 0)))</f>
        <v>0.8</v>
      </c>
      <c r="E20" s="211">
        <f t="array" ref="E20">IF(A20="", "", IF($B$4="(無)", 0, IFERROR($C$4 / INDEX('計算機參數庫'!$D$2:$D$1001, MATCH(1, ('計算機參數庫'!$A$2:$A$1001=$B$4)*('計算機參數庫'!$B$2:$B$1001=A20), 0)), 0)))</f>
        <v>0</v>
      </c>
      <c r="F20" s="210">
        <f t="array" ref="F20">IF(A20="", "", IF($B$5="(無)", 0, IFERROR($C$5 / INDEX('計算機參數庫'!$D$2:$D$1001, MATCH(1, ('計算機參數庫'!$A$2:$A$1001=$B$5)*('計算機參數庫'!$B$2:$B$1001=A20), 0)), 0)))</f>
        <v>0</v>
      </c>
      <c r="G20" s="211">
        <f t="shared" si="10"/>
        <v>0.8</v>
      </c>
      <c r="H20" s="212">
        <f t="shared" si="11"/>
        <v>1</v>
      </c>
      <c r="I20" s="214">
        <f t="shared" si="12"/>
        <v>1</v>
      </c>
      <c r="J20" s="212">
        <f t="shared" si="13"/>
        <v>0</v>
      </c>
      <c r="K20" s="211">
        <f>IF(A20="", "", VLOOKUP(A20, '計算機參數庫'!$B$2:$F$1001, 4, FALSE))</f>
        <v>1</v>
      </c>
      <c r="L20" s="210">
        <f t="shared" si="14"/>
        <v>1</v>
      </c>
      <c r="M20" s="214">
        <f>IF(A20="", "", VLOOKUP(A20, '計算機參數庫'!$B$2:$F$1001, 5, FALSE))</f>
        <v>2</v>
      </c>
      <c r="N20" s="212">
        <f t="shared" si="15"/>
        <v>2</v>
      </c>
      <c r="O20" s="189">
        <f>IFERROR(__xludf.DUMMYFUNCTION("IFERROR(IF(A20="""", """", I20 / GCD(FILTER($I$17:$I$100, ISNUMBER($I$17:$I$100), $I$17:$I$100&gt;0))), 1)"),1.0)</f>
        <v>1</v>
      </c>
      <c r="P20" s="187" t="str">
        <f t="shared" si="16"/>
        <v>1:1 對等直連</v>
      </c>
      <c r="Q20" s="192"/>
    </row>
    <row r="21">
      <c r="A21" s="207" t="str">
        <f>IFERROR(__xludf.DUMMYFUNCTION("""COMPUTED_VALUE"""),"重構鷹身女妖翅膀")</f>
        <v>重構鷹身女妖翅膀</v>
      </c>
      <c r="B21" s="207" t="str">
        <f>IFERROR(__xludf.DUMMYFUNCTION("""COMPUTED_VALUE"""),"物質操縱機")</f>
        <v>物質操縱機</v>
      </c>
      <c r="C21" s="209">
        <f t="array" ref="C21">IF(A21="", "", IFERROR(INDEX('計算機參數庫'!$D$2:$D$1001, MATCH(1, ('計算機參數庫'!$B$2:$B$1001=A21) * (('計算機參數庫'!$A$2:$A$1001=$B$3) + ('計算機參數庫'!$A$2:$A$1001=$B$4) + ('計算機參數庫'!$A$2:$A$1001=$B$5)), 0)), VLOOKUP(A21, '計算機參數庫'!$B$2:$F$1001, 3, FALSE)))</f>
        <v>0.2</v>
      </c>
      <c r="D21" s="211">
        <f t="array" ref="D21">IF(A21="", "", IF($B$3="(無)", 0, IFERROR($C$3 / INDEX('計算機參數庫'!$D$2:$D$1001, MATCH(1, ('計算機參數庫'!$A$2:$A$1001=$B$3)*('計算機參數庫'!$B$2:$B$1001=A21), 0)), 0)))</f>
        <v>1</v>
      </c>
      <c r="E21" s="211">
        <f t="array" ref="E21">IF(A21="", "", IF($B$4="(無)", 0, IFERROR($C$4 / INDEX('計算機參數庫'!$D$2:$D$1001, MATCH(1, ('計算機參數庫'!$A$2:$A$1001=$B$4)*('計算機參數庫'!$B$2:$B$1001=A21), 0)), 0)))</f>
        <v>0</v>
      </c>
      <c r="F21" s="210">
        <f t="array" ref="F21">IF(A21="", "", IF($B$5="(無)", 0, IFERROR($C$5 / INDEX('計算機參數庫'!$D$2:$D$1001, MATCH(1, ('計算機參數庫'!$A$2:$A$1001=$B$5)*('計算機參數庫'!$B$2:$B$1001=A21), 0)), 0)))</f>
        <v>0</v>
      </c>
      <c r="G21" s="211">
        <f t="shared" si="10"/>
        <v>1</v>
      </c>
      <c r="H21" s="212">
        <f t="shared" si="11"/>
        <v>1</v>
      </c>
      <c r="I21" s="214">
        <f t="shared" si="12"/>
        <v>1</v>
      </c>
      <c r="J21" s="212">
        <f t="shared" si="13"/>
        <v>0</v>
      </c>
      <c r="K21" s="211">
        <f>IF(A21="", "", VLOOKUP(A21, '計算機參數庫'!$B$2:$F$1001, 4, FALSE))</f>
        <v>1</v>
      </c>
      <c r="L21" s="210">
        <f t="shared" si="14"/>
        <v>1</v>
      </c>
      <c r="M21" s="214">
        <f>IF(A21="", "", VLOOKUP(A21, '計算機參數庫'!$B$2:$F$1001, 5, FALSE))</f>
        <v>1</v>
      </c>
      <c r="N21" s="212">
        <f t="shared" si="15"/>
        <v>1</v>
      </c>
      <c r="O21" s="189">
        <f>IFERROR(__xludf.DUMMYFUNCTION("IFERROR(IF(A21="""", """", I21 / GCD(FILTER($I$17:$I$100, ISNUMBER($I$17:$I$100), $I$17:$I$100&gt;0))), 1)"),1.0)</f>
        <v>1</v>
      </c>
      <c r="P21" s="187" t="str">
        <f t="shared" si="16"/>
        <v>1:1 對等直連</v>
      </c>
      <c r="Q21" s="192"/>
    </row>
    <row r="22">
      <c r="A22" s="207" t="str">
        <f>IFERROR(__xludf.DUMMYFUNCTION("""COMPUTED_VALUE"""),"炙烈紅油")</f>
        <v>炙烈紅油</v>
      </c>
      <c r="B22" s="207" t="str">
        <f>IFERROR(__xludf.DUMMYFUNCTION("""COMPUTED_VALUE"""),"注入機")</f>
        <v>注入機</v>
      </c>
      <c r="C22" s="209">
        <f t="array" ref="C22">IF(A22="", "", IFERROR(INDEX('計算機參數庫'!$D$2:$D$1001, MATCH(1, ('計算機參數庫'!$B$2:$B$1001=A22) * (('計算機參數庫'!$A$2:$A$1001=$B$3) + ('計算機參數庫'!$A$2:$A$1001=$B$4) + ('計算機參數庫'!$A$2:$A$1001=$B$5)), 0)), VLOOKUP(A22, '計算機參數庫'!$B$2:$F$1001, 3, FALSE)))</f>
        <v>0.2</v>
      </c>
      <c r="D22" s="210">
        <f t="array" ref="D22">IF(A22="", "", IF($B$3="(無)", 0, IFERROR($C$3 / INDEX('計算機參數庫'!$D$2:$D$1001, MATCH(1, ('計算機參數庫'!$A$2:$A$1001=$B$3)*('計算機參數庫'!$B$2:$B$1001=A22), 0)), 0)))</f>
        <v>1</v>
      </c>
      <c r="E22" s="210">
        <f t="array" ref="E22">IF(A22="", "", IF($B$4="(無)", 0, IFERROR($C$4 / INDEX('計算機參數庫'!$D$2:$D$1001, MATCH(1, ('計算機參數庫'!$A$2:$A$1001=$B$4)*('計算機參數庫'!$B$2:$B$1001=A22), 0)), 0)))</f>
        <v>0</v>
      </c>
      <c r="F22" s="210">
        <f t="array" ref="F22">IF(A22="", "", IF($B$5="(無)", 0, IFERROR($C$5 / INDEX('計算機參數庫'!$D$2:$D$1001, MATCH(1, ('計算機參數庫'!$A$2:$A$1001=$B$5)*('計算機參數庫'!$B$2:$B$1001=A22), 0)), 0)))</f>
        <v>0</v>
      </c>
      <c r="G22" s="210">
        <f t="shared" si="10"/>
        <v>1</v>
      </c>
      <c r="H22" s="212">
        <f t="shared" si="11"/>
        <v>1</v>
      </c>
      <c r="I22" s="212">
        <f t="shared" si="12"/>
        <v>1</v>
      </c>
      <c r="J22" s="212">
        <f t="shared" si="13"/>
        <v>0</v>
      </c>
      <c r="K22" s="211">
        <f>IF(A22="", "", VLOOKUP(A22, '計算機參數庫'!$B$2:$F$1001, 4, FALSE))</f>
        <v>1</v>
      </c>
      <c r="L22" s="210">
        <f t="shared" si="14"/>
        <v>1</v>
      </c>
      <c r="M22" s="214">
        <f>IF(A22="", "", VLOOKUP(A22, '計算機參數庫'!$B$2:$F$1001, 5, FALSE))</f>
        <v>2</v>
      </c>
      <c r="N22" s="212">
        <f t="shared" si="15"/>
        <v>2</v>
      </c>
      <c r="O22" s="189">
        <f>IFERROR(__xludf.DUMMYFUNCTION("IFERROR(IF(A22="""", """", I22 / GCD(FILTER($I$17:$I$100, ISNUMBER($I$17:$I$100), $I$17:$I$100&gt;0))), 1)"),1.0)</f>
        <v>1</v>
      </c>
      <c r="P22" s="187" t="str">
        <f t="shared" si="16"/>
        <v>1:1 對等直連</v>
      </c>
      <c r="Q22" s="192"/>
    </row>
    <row r="23">
      <c r="A23" s="207" t="str">
        <f>IFERROR(__xludf.DUMMYFUNCTION("""COMPUTED_VALUE"""),"採收辣椒")</f>
        <v>採收辣椒</v>
      </c>
      <c r="B23" s="207" t="str">
        <f>IFERROR(__xludf.DUMMYFUNCTION("""COMPUTED_VALUE"""),"收割機")</f>
        <v>收割機</v>
      </c>
      <c r="C23" s="209">
        <f t="array" ref="C23">IF(A23="", "", IFERROR(INDEX('計算機參數庫'!$D$2:$D$1001, MATCH(1, ('計算機參數庫'!$B$2:$B$1001=A23) * (('計算機參數庫'!$A$2:$A$1001=$B$3) + ('計算機參數庫'!$A$2:$A$1001=$B$4) + ('計算機參數庫'!$A$2:$A$1001=$B$5)), 0)), VLOOKUP(A23, '計算機參數庫'!$B$2:$F$1001, 3, FALSE)))</f>
        <v>0.2</v>
      </c>
      <c r="D23" s="210">
        <f t="array" ref="D23">IF(A23="", "", IF($B$3="(無)", 0, IFERROR($C$3 / INDEX('計算機參數庫'!$D$2:$D$1001, MATCH(1, ('計算機參數庫'!$A$2:$A$1001=$B$3)*('計算機參數庫'!$B$2:$B$1001=A23), 0)), 0)))</f>
        <v>1</v>
      </c>
      <c r="E23" s="210">
        <f t="array" ref="E23">IF(A23="", "", IF($B$4="(無)", 0, IFERROR($C$4 / INDEX('計算機參數庫'!$D$2:$D$1001, MATCH(1, ('計算機參數庫'!$A$2:$A$1001=$B$4)*('計算機參數庫'!$B$2:$B$1001=A23), 0)), 0)))</f>
        <v>0</v>
      </c>
      <c r="F23" s="210">
        <f t="array" ref="F23">IF(A23="", "", IF($B$5="(無)", 0, IFERROR($C$5 / INDEX('計算機參數庫'!$D$2:$D$1001, MATCH(1, ('計算機參數庫'!$A$2:$A$1001=$B$5)*('計算機參數庫'!$B$2:$B$1001=A23), 0)), 0)))</f>
        <v>0</v>
      </c>
      <c r="G23" s="210">
        <f t="shared" si="10"/>
        <v>1</v>
      </c>
      <c r="H23" s="212">
        <f t="shared" si="11"/>
        <v>1</v>
      </c>
      <c r="I23" s="212">
        <f t="shared" si="12"/>
        <v>1</v>
      </c>
      <c r="J23" s="212">
        <f t="shared" si="13"/>
        <v>0</v>
      </c>
      <c r="K23" s="211">
        <f>IF(A23="", "", VLOOKUP(A23, '計算機參數庫'!$B$2:$F$1001, 4, FALSE))</f>
        <v>1</v>
      </c>
      <c r="L23" s="210">
        <f t="shared" si="14"/>
        <v>1</v>
      </c>
      <c r="M23" s="214">
        <f>IF(A23="", "", VLOOKUP(A23, '計算機參數庫'!$B$2:$F$1001, 5, FALSE))</f>
        <v>1</v>
      </c>
      <c r="N23" s="212">
        <f t="shared" si="15"/>
        <v>1</v>
      </c>
      <c r="O23" s="189">
        <f>IFERROR(__xludf.DUMMYFUNCTION("IFERROR(IF(A23="""", """", I23 / GCD(FILTER($I$17:$I$100, ISNUMBER($I$17:$I$100), $I$17:$I$100&gt;0))), 1)"),1.0)</f>
        <v>1</v>
      </c>
      <c r="P23" s="187" t="str">
        <f t="shared" si="16"/>
        <v>1:1 對等直連</v>
      </c>
      <c r="Q23" s="192"/>
    </row>
    <row r="24">
      <c r="A24" s="207" t="str">
        <f>IFERROR(__xludf.DUMMYFUNCTION("""COMPUTED_VALUE"""),"混和辛辣沙沙醬")</f>
        <v>混和辛辣沙沙醬</v>
      </c>
      <c r="B24" s="229" t="str">
        <f>IFERROR(__xludf.DUMMYFUNCTION("""COMPUTED_VALUE"""),"混合機")</f>
        <v>混合機</v>
      </c>
      <c r="C24" s="230">
        <f t="array" ref="C24">IF(A24="", "", IFERROR(INDEX('計算機參數庫'!$D$2:$D$1001, MATCH(1, ('計算機參數庫'!$B$2:$B$1001=A24) * (('計算機參數庫'!$A$2:$A$1001=$B$3) + ('計算機參數庫'!$A$2:$A$1001=$B$4) + ('計算機參數庫'!$A$2:$A$1001=$B$5)), 0)), VLOOKUP(A24, '計算機參數庫'!$B$2:$F$1001, 3, FALSE)))</f>
        <v>0.5</v>
      </c>
      <c r="D24" s="210">
        <f t="array" ref="D24">IF(A24="", "", IF($B$3="(無)", 0, IFERROR($C$3 / INDEX('計算機參數庫'!$D$2:$D$1001, MATCH(1, ('計算機參數庫'!$A$2:$A$1001=$B$3)*('計算機參數庫'!$B$2:$B$1001=A24), 0)), 0)))</f>
        <v>0.4</v>
      </c>
      <c r="E24" s="210">
        <f t="array" ref="E24">IF(A24="", "", IF($B$4="(無)", 0, IFERROR($C$4 / INDEX('計算機參數庫'!$D$2:$D$1001, MATCH(1, ('計算機參數庫'!$A$2:$A$1001=$B$4)*('計算機參數庫'!$B$2:$B$1001=A24), 0)), 0)))</f>
        <v>0</v>
      </c>
      <c r="F24" s="210">
        <f t="array" ref="F24">IF(A24="", "", IF($B$5="(無)", 0, IFERROR($C$5 / INDEX('計算機參數庫'!$D$2:$D$1001, MATCH(1, ('計算機參數庫'!$A$2:$A$1001=$B$5)*('計算機參數庫'!$B$2:$B$1001=A24), 0)), 0)))</f>
        <v>0</v>
      </c>
      <c r="G24" s="210">
        <f t="shared" si="10"/>
        <v>0.4</v>
      </c>
      <c r="H24" s="212">
        <f t="shared" si="11"/>
        <v>1</v>
      </c>
      <c r="I24" s="212">
        <f t="shared" si="12"/>
        <v>1</v>
      </c>
      <c r="J24" s="212">
        <f t="shared" si="13"/>
        <v>0</v>
      </c>
      <c r="K24" s="210">
        <f>IF(A24="", "", VLOOKUP(A24, '計算機參數庫'!$B$2:$F$1001, 4, FALSE))</f>
        <v>1</v>
      </c>
      <c r="L24" s="210">
        <f t="shared" si="14"/>
        <v>1</v>
      </c>
      <c r="M24" s="212">
        <f>IF(A24="", "", VLOOKUP(A24, '計算機參數庫'!$B$2:$F$1001, 5, FALSE))</f>
        <v>2</v>
      </c>
      <c r="N24" s="212">
        <f t="shared" si="15"/>
        <v>2</v>
      </c>
      <c r="O24" s="189">
        <f>IFERROR(__xludf.DUMMYFUNCTION("IFERROR(IF(A24="""", """", I24 / GCD(FILTER($I$17:$I$100, ISNUMBER($I$17:$I$100), $I$17:$I$100&gt;0))), 1)"),1.0)</f>
        <v>1</v>
      </c>
      <c r="P24" s="187" t="str">
        <f t="shared" si="16"/>
        <v>1:1 對等直連</v>
      </c>
      <c r="Q24" s="192"/>
    </row>
    <row r="25">
      <c r="A25" s="207" t="str">
        <f>IFERROR(__xludf.DUMMYFUNCTION("""COMPUTED_VALUE"""),"採收洋蔥蔥")</f>
        <v>採收洋蔥蔥</v>
      </c>
      <c r="B25" s="207" t="str">
        <f>IFERROR(__xludf.DUMMYFUNCTION("""COMPUTED_VALUE"""),"收割機")</f>
        <v>收割機</v>
      </c>
      <c r="C25" s="209">
        <f t="array" ref="C25">IF(A25="", "", IFERROR(INDEX('計算機參數庫'!$D$2:$D$1001, MATCH(1, ('計算機參數庫'!$B$2:$B$1001=A25) * (('計算機參數庫'!$A$2:$A$1001=$B$3) + ('計算機參數庫'!$A$2:$A$1001=$B$4) + ('計算機參數庫'!$A$2:$A$1001=$B$5)), 0)), VLOOKUP(A25, '計算機參數庫'!$B$2:$F$1001, 3, FALSE)))</f>
        <v>0.4</v>
      </c>
      <c r="D25" s="211">
        <f t="array" ref="D25">IF(A25="", "", IF($B$3="(無)", 0, IFERROR($C$3 / INDEX('計算機參數庫'!$D$2:$D$1001, MATCH(1, ('計算機參數庫'!$A$2:$A$1001=$B$3)*('計算機參數庫'!$B$2:$B$1001=A25), 0)), 0)))</f>
        <v>0.5</v>
      </c>
      <c r="E25" s="211">
        <f t="array" ref="E25">IF(A25="", "", IF($B$4="(無)", 0, IFERROR($C$4 / INDEX('計算機參數庫'!$D$2:$D$1001, MATCH(1, ('計算機參數庫'!$A$2:$A$1001=$B$4)*('計算機參數庫'!$B$2:$B$1001=A25), 0)), 0)))</f>
        <v>0</v>
      </c>
      <c r="F25" s="211">
        <f t="array" ref="F25">IF(A25="", "", IF($B$5="(無)", 0, IFERROR($C$5 / INDEX('計算機參數庫'!$D$2:$D$1001, MATCH(1, ('計算機參數庫'!$A$2:$A$1001=$B$5)*('計算機參數庫'!$B$2:$B$1001=A25), 0)), 0)))</f>
        <v>0</v>
      </c>
      <c r="G25" s="211">
        <f t="shared" si="10"/>
        <v>0.5</v>
      </c>
      <c r="H25" s="214">
        <f t="shared" si="11"/>
        <v>1</v>
      </c>
      <c r="I25" s="212">
        <f t="shared" si="12"/>
        <v>1</v>
      </c>
      <c r="J25" s="212">
        <f t="shared" si="13"/>
        <v>0</v>
      </c>
      <c r="K25" s="210">
        <f>IF(A25="", "", VLOOKUP(A25, '計算機參數庫'!$B$2:$F$1001, 4, FALSE))</f>
        <v>1</v>
      </c>
      <c r="L25" s="210">
        <f t="shared" si="14"/>
        <v>1</v>
      </c>
      <c r="M25" s="212">
        <f>IF(A25="", "", VLOOKUP(A25, '計算機參數庫'!$B$2:$F$1001, 5, FALSE))</f>
        <v>1</v>
      </c>
      <c r="N25" s="212">
        <f t="shared" si="15"/>
        <v>1</v>
      </c>
      <c r="O25" s="189">
        <f>IFERROR(__xludf.DUMMYFUNCTION("IFERROR(IF(A25="""", """", I25 / GCD(FILTER($I$17:$I$100, ISNUMBER($I$17:$I$100), $I$17:$I$100&gt;0))), 1)"),1.0)</f>
        <v>1</v>
      </c>
      <c r="P25" s="187" t="str">
        <f t="shared" si="16"/>
        <v>1:1 對等直連</v>
      </c>
      <c r="Q25" s="192"/>
    </row>
    <row r="26">
      <c r="A26" s="207" t="str">
        <f>IFERROR(__xludf.DUMMYFUNCTION("""COMPUTED_VALUE"""),"採收塔瑪茄")</f>
        <v>採收塔瑪茄</v>
      </c>
      <c r="B26" s="207" t="str">
        <f>IFERROR(__xludf.DUMMYFUNCTION("""COMPUTED_VALUE"""),"收割機")</f>
        <v>收割機</v>
      </c>
      <c r="C26" s="209">
        <f t="array" ref="C26">IF(A26="", "", IFERROR(INDEX('計算機參數庫'!$D$2:$D$1001, MATCH(1, ('計算機參數庫'!$B$2:$B$1001=A26) * (('計算機參數庫'!$A$2:$A$1001=$B$3) + ('計算機參數庫'!$A$2:$A$1001=$B$4) + ('計算機參數庫'!$A$2:$A$1001=$B$5)), 0)), VLOOKUP(A26, '計算機參數庫'!$B$2:$F$1001, 3, FALSE)))</f>
        <v>0.4</v>
      </c>
      <c r="D26" s="211">
        <f t="array" ref="D26">IF(A26="", "", IF($B$3="(無)", 0, IFERROR($C$3 / INDEX('計算機參數庫'!$D$2:$D$1001, MATCH(1, ('計算機參數庫'!$A$2:$A$1001=$B$3)*('計算機參數庫'!$B$2:$B$1001=A26), 0)), 0)))</f>
        <v>0.5</v>
      </c>
      <c r="E26" s="211">
        <f t="array" ref="E26">IF(A26="", "", IF($B$4="(無)", 0, IFERROR($C$4 / INDEX('計算機參數庫'!$D$2:$D$1001, MATCH(1, ('計算機參數庫'!$A$2:$A$1001=$B$4)*('計算機參數庫'!$B$2:$B$1001=A26), 0)), 0)))</f>
        <v>0</v>
      </c>
      <c r="F26" s="211">
        <f t="array" ref="F26">IF(A26="", "", IF($B$5="(無)", 0, IFERROR($C$5 / INDEX('計算機參數庫'!$D$2:$D$1001, MATCH(1, ('計算機參數庫'!$A$2:$A$1001=$B$5)*('計算機參數庫'!$B$2:$B$1001=A26), 0)), 0)))</f>
        <v>0</v>
      </c>
      <c r="G26" s="211">
        <f t="shared" si="10"/>
        <v>0.5</v>
      </c>
      <c r="H26" s="214">
        <f t="shared" si="11"/>
        <v>1</v>
      </c>
      <c r="I26" s="212">
        <f t="shared" si="12"/>
        <v>1</v>
      </c>
      <c r="J26" s="212">
        <f t="shared" si="13"/>
        <v>0</v>
      </c>
      <c r="K26" s="210">
        <f>IF(A26="", "", VLOOKUP(A26, '計算機參數庫'!$B$2:$F$1001, 4, FALSE))</f>
        <v>1</v>
      </c>
      <c r="L26" s="210">
        <f t="shared" si="14"/>
        <v>1</v>
      </c>
      <c r="M26" s="212">
        <f>IF(A26="", "", VLOOKUP(A26, '計算機參數庫'!$B$2:$F$1001, 5, FALSE))</f>
        <v>1</v>
      </c>
      <c r="N26" s="212">
        <f t="shared" si="15"/>
        <v>1</v>
      </c>
      <c r="O26" s="189">
        <f>IFERROR(__xludf.DUMMYFUNCTION("IFERROR(IF(A26="""", """", I26 / GCD(FILTER($I$17:$I$100, ISNUMBER($I$17:$I$100), $I$17:$I$100&gt;0))), 1)"),1.0)</f>
        <v>1</v>
      </c>
      <c r="P26" s="187" t="str">
        <f t="shared" si="16"/>
        <v>1:1 對等直連</v>
      </c>
      <c r="Q26" s="192"/>
    </row>
    <row r="27">
      <c r="A27" s="207" t="str">
        <f>IFERROR(__xludf.DUMMYFUNCTION("""COMPUTED_VALUE"""),"採收菠菜")</f>
        <v>採收菠菜</v>
      </c>
      <c r="B27" s="211" t="str">
        <f>IFERROR(__xludf.DUMMYFUNCTION("""COMPUTED_VALUE"""),"收割機")</f>
        <v>收割機</v>
      </c>
      <c r="C27" s="209">
        <f t="array" ref="C27">IF(A27="", "", IFERROR(INDEX('計算機參數庫'!$D$2:$D$1001, MATCH(1, ('計算機參數庫'!$B$2:$B$1001=A27) * (('計算機參數庫'!$A$2:$A$1001=$B$3) + ('計算機參數庫'!$A$2:$A$1001=$B$4) + ('計算機參數庫'!$A$2:$A$1001=$B$5)), 0)), VLOOKUP(A27, '計算機參數庫'!$B$2:$F$1001, 3, FALSE)))</f>
        <v>0.2</v>
      </c>
      <c r="D27" s="211">
        <f t="array" ref="D27">IF(A27="", "", IF($B$3="(無)", 0, IFERROR($C$3 / INDEX('計算機參數庫'!$D$2:$D$1001, MATCH(1, ('計算機參數庫'!$A$2:$A$1001=$B$3)*('計算機參數庫'!$B$2:$B$1001=A27), 0)), 0)))</f>
        <v>1</v>
      </c>
      <c r="E27" s="210">
        <f t="array" ref="E27">IF(A27="", "", IF($B$4="(無)", 0, IFERROR($C$4 / INDEX('計算機參數庫'!$D$2:$D$1001, MATCH(1, ('計算機參數庫'!$A$2:$A$1001=$B$4)*('計算機參數庫'!$B$2:$B$1001=A27), 0)), 0)))</f>
        <v>0</v>
      </c>
      <c r="F27" s="210">
        <f t="array" ref="F27">IF(A27="", "", IF($B$5="(無)", 0, IFERROR($C$5 / INDEX('計算機參數庫'!$D$2:$D$1001, MATCH(1, ('計算機參數庫'!$A$2:$A$1001=$B$5)*('計算機參數庫'!$B$2:$B$1001=A27), 0)), 0)))</f>
        <v>0</v>
      </c>
      <c r="G27" s="210">
        <f t="shared" si="10"/>
        <v>1</v>
      </c>
      <c r="H27" s="212">
        <f t="shared" si="11"/>
        <v>1</v>
      </c>
      <c r="I27" s="212">
        <f t="shared" si="12"/>
        <v>1</v>
      </c>
      <c r="J27" s="212">
        <f t="shared" si="13"/>
        <v>0</v>
      </c>
      <c r="K27" s="210">
        <f>IF(A27="", "", VLOOKUP(A27, '計算機參數庫'!$B$2:$F$1001, 4, FALSE))</f>
        <v>1</v>
      </c>
      <c r="L27" s="210">
        <f t="shared" si="14"/>
        <v>1</v>
      </c>
      <c r="M27" s="212">
        <f>IF(A27="", "", VLOOKUP(A27, '計算機參數庫'!$B$2:$F$1001, 5, FALSE))</f>
        <v>1</v>
      </c>
      <c r="N27" s="212">
        <f t="shared" si="15"/>
        <v>1</v>
      </c>
      <c r="O27" s="189">
        <f>IFERROR(__xludf.DUMMYFUNCTION("IFERROR(IF(A27="""", """", I27 / GCD(FILTER($I$17:$I$100, ISNUMBER($I$17:$I$100), $I$17:$I$100&gt;0))), 1)"),1.0)</f>
        <v>1</v>
      </c>
      <c r="P27" s="187" t="str">
        <f t="shared" si="16"/>
        <v>1:1 對等直連</v>
      </c>
      <c r="Q27" s="192"/>
    </row>
    <row r="28">
      <c r="A28" s="207"/>
      <c r="B28" s="211"/>
      <c r="C28" s="209" t="str">
        <f t="array" ref="C28">IF(A28="", "", IFERROR(INDEX('計算機參數庫'!$D$2:$D$1001, MATCH(1, ('計算機參數庫'!$B$2:$B$1001=A28) * (('計算機參數庫'!$A$2:$A$1001=$B$3) + ('計算機參數庫'!$A$2:$A$1001=$B$4) + ('計算機參數庫'!$A$2:$A$1001=$B$5)), 0)), VLOOKUP(A28, '計算機參數庫'!$B$2:$F$1001, 3, FALSE)))</f>
        <v/>
      </c>
      <c r="D28" s="211" t="str">
        <f t="array" ref="D28">IF(A28="", "", IF($B$3="(無)", 0, IFERROR($C$3 / INDEX('計算機參數庫'!$D$2:$D$1001, MATCH(1, ('計算機參數庫'!$A$2:$A$1001=$B$3)*('計算機參數庫'!$B$2:$B$1001=A28), 0)), 0)))</f>
        <v/>
      </c>
      <c r="E28" s="210" t="str">
        <f t="array" ref="E28">IF(A28="", "", IF($B$4="(無)", 0, IFERROR($C$4 / INDEX('計算機參數庫'!$D$2:$D$1001, MATCH(1, ('計算機參數庫'!$A$2:$A$1001=$B$4)*('計算機參數庫'!$B$2:$B$1001=A28), 0)), 0)))</f>
        <v/>
      </c>
      <c r="F28" s="210" t="str">
        <f t="array" ref="F28">IF(A28="", "", IF($B$5="(無)", 0, IFERROR($C$5 / INDEX('計算機參數庫'!$D$2:$D$1001, MATCH(1, ('計算機參數庫'!$A$2:$A$1001=$B$5)*('計算機參數庫'!$B$2:$B$1001=A28), 0)), 0)))</f>
        <v/>
      </c>
      <c r="G28" s="210" t="str">
        <f t="shared" si="10"/>
        <v/>
      </c>
      <c r="H28" s="212" t="str">
        <f t="shared" si="11"/>
        <v/>
      </c>
      <c r="I28" s="212" t="str">
        <f t="shared" si="12"/>
        <v/>
      </c>
      <c r="J28" s="212" t="str">
        <f t="shared" si="13"/>
        <v/>
      </c>
      <c r="K28" s="210" t="str">
        <f>IF(A28="", "", VLOOKUP(A28, '計算機參數庫'!$B$2:$F$1001, 4, FALSE))</f>
        <v/>
      </c>
      <c r="L28" s="210" t="str">
        <f t="shared" si="14"/>
        <v/>
      </c>
      <c r="M28" s="212" t="str">
        <f>IF(A28="", "", VLOOKUP(A28, '計算機參數庫'!$B$2:$F$1001, 5, FALSE))</f>
        <v/>
      </c>
      <c r="N28" s="212" t="str">
        <f t="shared" si="15"/>
        <v/>
      </c>
      <c r="O28" s="189" t="str">
        <f>IFERROR(__xludf.DUMMYFUNCTION("IFERROR(IF(A28="""", """", I28 / GCD(FILTER($I$17:$I$100, ISNUMBER($I$17:$I$100), $I$17:$I$100&gt;0))), 1)"),"")</f>
        <v/>
      </c>
      <c r="P28" s="187" t="str">
        <f t="shared" si="16"/>
        <v/>
      </c>
      <c r="Q28" s="192"/>
    </row>
    <row r="29">
      <c r="A29" s="207"/>
      <c r="B29" s="211"/>
      <c r="C29" s="209" t="str">
        <f t="array" ref="C29">IF(A29="", "", IFERROR(INDEX('計算機參數庫'!$D$2:$D$1001, MATCH(1, ('計算機參數庫'!$B$2:$B$1001=A29) * (('計算機參數庫'!$A$2:$A$1001=$B$3) + ('計算機參數庫'!$A$2:$A$1001=$B$4) + ('計算機參數庫'!$A$2:$A$1001=$B$5)), 0)), VLOOKUP(A29, '計算機參數庫'!$B$2:$F$1001, 3, FALSE)))</f>
        <v/>
      </c>
      <c r="D29" s="211" t="str">
        <f t="array" ref="D29">IF(A29="", "", IF($B$3="(無)", 0, IFERROR($C$3 / INDEX('計算機參數庫'!$D$2:$D$1001, MATCH(1, ('計算機參數庫'!$A$2:$A$1001=$B$3)*('計算機參數庫'!$B$2:$B$1001=A29), 0)), 0)))</f>
        <v/>
      </c>
      <c r="E29" s="210" t="str">
        <f t="array" ref="E29">IF(A29="", "", IF($B$4="(無)", 0, IFERROR($C$4 / INDEX('計算機參數庫'!$D$2:$D$1001, MATCH(1, ('計算機參數庫'!$A$2:$A$1001=$B$4)*('計算機參數庫'!$B$2:$B$1001=A29), 0)), 0)))</f>
        <v/>
      </c>
      <c r="F29" s="210" t="str">
        <f t="array" ref="F29">IF(A29="", "", IF($B$5="(無)", 0, IFERROR($C$5 / INDEX('計算機參數庫'!$D$2:$D$1001, MATCH(1, ('計算機參數庫'!$A$2:$A$1001=$B$5)*('計算機參數庫'!$B$2:$B$1001=A29), 0)), 0)))</f>
        <v/>
      </c>
      <c r="G29" s="210" t="str">
        <f t="shared" si="10"/>
        <v/>
      </c>
      <c r="H29" s="212" t="str">
        <f t="shared" si="11"/>
        <v/>
      </c>
      <c r="I29" s="212" t="str">
        <f t="shared" si="12"/>
        <v/>
      </c>
      <c r="J29" s="212" t="str">
        <f t="shared" si="13"/>
        <v/>
      </c>
      <c r="K29" s="210" t="str">
        <f>IF(A29="", "", VLOOKUP(A29, '計算機參數庫'!$B$2:$F$1001, 4, FALSE))</f>
        <v/>
      </c>
      <c r="L29" s="210" t="str">
        <f t="shared" si="14"/>
        <v/>
      </c>
      <c r="M29" s="212" t="str">
        <f>IF(A29="", "", VLOOKUP(A29, '計算機參數庫'!$B$2:$F$1001, 5, FALSE))</f>
        <v/>
      </c>
      <c r="N29" s="212" t="str">
        <f t="shared" si="15"/>
        <v/>
      </c>
      <c r="O29" s="189" t="str">
        <f>IFERROR(__xludf.DUMMYFUNCTION("IFERROR(IF(A29="""", """", I29 / GCD(FILTER($I$17:$I$100, ISNUMBER($I$17:$I$100), $I$17:$I$100&gt;0))), 1)"),"")</f>
        <v/>
      </c>
      <c r="P29" s="187" t="str">
        <f t="shared" si="16"/>
        <v/>
      </c>
      <c r="Q29" s="192"/>
    </row>
    <row r="30">
      <c r="A30" s="207"/>
      <c r="B30" s="207"/>
      <c r="C30" s="230" t="str">
        <f t="array" ref="C30">IF(A30="", "", IFERROR(INDEX('計算機參數庫'!$D$2:$D$1001, MATCH(1, ('計算機參數庫'!$B$2:$B$1001=A30) * (('計算機參數庫'!$A$2:$A$1001=$B$3) + ('計算機參數庫'!$A$2:$A$1001=$B$4) + ('計算機參數庫'!$A$2:$A$1001=$B$5)), 0)), VLOOKUP(A30, '計算機參數庫'!$B$2:$F$1001, 3, FALSE)))</f>
        <v/>
      </c>
      <c r="D30" s="211" t="str">
        <f t="array" ref="D30">IF(A30="", "", IF($B$3="(無)", 0, IFERROR($C$3 / INDEX('計算機參數庫'!$D$2:$D$1001, MATCH(1, ('計算機參數庫'!$A$2:$A$1001=$B$3)*('計算機參數庫'!$B$2:$B$1001=A30), 0)), 0)))</f>
        <v/>
      </c>
      <c r="E30" s="210" t="str">
        <f t="array" ref="E30">IF(A30="", "", IF($B$4="(無)", 0, IFERROR($C$4 / INDEX('計算機參數庫'!$D$2:$D$1001, MATCH(1, ('計算機參數庫'!$A$2:$A$1001=$B$4)*('計算機參數庫'!$B$2:$B$1001=A30), 0)), 0)))</f>
        <v/>
      </c>
      <c r="F30" s="210" t="str">
        <f t="array" ref="F30">IF(A30="", "", IF($B$5="(無)", 0, IFERROR($C$5 / INDEX('計算機參數庫'!$D$2:$D$1001, MATCH(1, ('計算機參數庫'!$A$2:$A$1001=$B$5)*('計算機參數庫'!$B$2:$B$1001=A30), 0)), 0)))</f>
        <v/>
      </c>
      <c r="G30" s="210" t="str">
        <f t="shared" si="10"/>
        <v/>
      </c>
      <c r="H30" s="212" t="str">
        <f t="shared" si="11"/>
        <v/>
      </c>
      <c r="I30" s="212" t="str">
        <f t="shared" si="12"/>
        <v/>
      </c>
      <c r="J30" s="212" t="str">
        <f t="shared" si="13"/>
        <v/>
      </c>
      <c r="K30" s="210" t="str">
        <f>IF(A30="", "", VLOOKUP(A30, '計算機參數庫'!$B$2:$F$1001, 4, FALSE))</f>
        <v/>
      </c>
      <c r="L30" s="210" t="str">
        <f t="shared" si="14"/>
        <v/>
      </c>
      <c r="M30" s="212" t="str">
        <f>IF(A30="", "", VLOOKUP(A30, '計算機參數庫'!$B$2:$F$1001, 5, FALSE))</f>
        <v/>
      </c>
      <c r="N30" s="212" t="str">
        <f t="shared" si="15"/>
        <v/>
      </c>
      <c r="O30" s="189" t="str">
        <f>IFERROR(__xludf.DUMMYFUNCTION("IFERROR(IF(A30="""", """", I30 / GCD(FILTER($I$17:$I$100, ISNUMBER($I$17:$I$100), $I$17:$I$100&gt;0))), 1)"),"")</f>
        <v/>
      </c>
      <c r="P30" s="187" t="str">
        <f t="shared" si="16"/>
        <v/>
      </c>
      <c r="Q30" s="192"/>
    </row>
    <row r="31">
      <c r="A31" s="207"/>
      <c r="B31" s="229"/>
      <c r="C31" s="230" t="str">
        <f t="array" ref="C31">IF(A31="", "", IFERROR(INDEX('計算機參數庫'!$D$2:$D$1001, MATCH(1, ('計算機參數庫'!$B$2:$B$1001=A31) * (('計算機參數庫'!$A$2:$A$1001=$B$3) + ('計算機參數庫'!$A$2:$A$1001=$B$4) + ('計算機參數庫'!$A$2:$A$1001=$B$5)), 0)), VLOOKUP(A31, '計算機參數庫'!$B$2:$F$1001, 3, FALSE)))</f>
        <v/>
      </c>
      <c r="D31" s="210" t="str">
        <f t="array" ref="D31">IF(A31="", "", IF($B$3="(無)", 0, IFERROR($C$3 / INDEX('計算機參數庫'!$D$2:$D$1001, MATCH(1, ('計算機參數庫'!$A$2:$A$1001=$B$3)*('計算機參數庫'!$B$2:$B$1001=A31), 0)), 0)))</f>
        <v/>
      </c>
      <c r="E31" s="210" t="str">
        <f t="array" ref="E31">IF(A31="", "", IF($B$4="(無)", 0, IFERROR($C$4 / INDEX('計算機參數庫'!$D$2:$D$1001, MATCH(1, ('計算機參數庫'!$A$2:$A$1001=$B$4)*('計算機參數庫'!$B$2:$B$1001=A31), 0)), 0)))</f>
        <v/>
      </c>
      <c r="F31" s="210" t="str">
        <f t="array" ref="F31">IF(A31="", "", IF($B$5="(無)", 0, IFERROR($C$5 / INDEX('計算機參數庫'!$D$2:$D$1001, MATCH(1, ('計算機參數庫'!$A$2:$A$1001=$B$5)*('計算機參數庫'!$B$2:$B$1001=A31), 0)), 0)))</f>
        <v/>
      </c>
      <c r="G31" s="210" t="str">
        <f t="shared" si="10"/>
        <v/>
      </c>
      <c r="H31" s="212" t="str">
        <f t="shared" si="11"/>
        <v/>
      </c>
      <c r="I31" s="212" t="str">
        <f t="shared" si="12"/>
        <v/>
      </c>
      <c r="J31" s="212" t="str">
        <f t="shared" si="13"/>
        <v/>
      </c>
      <c r="K31" s="210" t="str">
        <f>IF(A31="", "", VLOOKUP(A31, '計算機參數庫'!$B$2:$F$1001, 4, FALSE))</f>
        <v/>
      </c>
      <c r="L31" s="210" t="str">
        <f t="shared" si="14"/>
        <v/>
      </c>
      <c r="M31" s="212" t="str">
        <f>IF(A31="", "", VLOOKUP(A31, '計算機參數庫'!$B$2:$F$1001, 5, FALSE))</f>
        <v/>
      </c>
      <c r="N31" s="212" t="str">
        <f t="shared" si="15"/>
        <v/>
      </c>
      <c r="O31" s="189" t="str">
        <f>IFERROR(__xludf.DUMMYFUNCTION("IFERROR(IF(A31="""", """", I31 / GCD(FILTER($I$17:$I$100, ISNUMBER($I$17:$I$100), $I$17:$I$100&gt;0))), 1)"),"")</f>
        <v/>
      </c>
      <c r="P31" s="187" t="str">
        <f t="shared" si="16"/>
        <v/>
      </c>
      <c r="Q31" s="192"/>
    </row>
    <row r="32">
      <c r="A32" s="207"/>
      <c r="B32" s="207"/>
      <c r="C32" s="209" t="str">
        <f t="array" ref="C32">IF(A32="", "", IFERROR(INDEX('計算機參數庫'!$D$2:$D$1001, MATCH(1, ('計算機參數庫'!$B$2:$B$1001=A32) * (('計算機參數庫'!$A$2:$A$1001=$B$3) + ('計算機參數庫'!$A$2:$A$1001=$B$4) + ('計算機參數庫'!$A$2:$A$1001=$B$5)), 0)), VLOOKUP(A32, '計算機參數庫'!$B$2:$F$1001, 3, FALSE)))</f>
        <v/>
      </c>
      <c r="D32" s="211" t="str">
        <f t="array" ref="D32">IF(A32="", "", IF($B$3="(無)", 0, IFERROR($C$3 / INDEX('計算機參數庫'!$D$2:$D$1001, MATCH(1, ('計算機參數庫'!$A$2:$A$1001=$B$3)*('計算機參數庫'!$B$2:$B$1001=A32), 0)), 0)))</f>
        <v/>
      </c>
      <c r="E32" s="211" t="str">
        <f t="array" ref="E32">IF(A32="", "", IF($B$4="(無)", 0, IFERROR($C$4 / INDEX('計算機參數庫'!$D$2:$D$1001, MATCH(1, ('計算機參數庫'!$A$2:$A$1001=$B$4)*('計算機參數庫'!$B$2:$B$1001=A32), 0)), 0)))</f>
        <v/>
      </c>
      <c r="F32" s="211" t="str">
        <f t="array" ref="F32">IF(A32="", "", IF($B$5="(無)", 0, IFERROR($C$5 / INDEX('計算機參數庫'!$D$2:$D$1001, MATCH(1, ('計算機參數庫'!$A$2:$A$1001=$B$5)*('計算機參數庫'!$B$2:$B$1001=A32), 0)), 0)))</f>
        <v/>
      </c>
      <c r="G32" s="211" t="str">
        <f t="shared" si="10"/>
        <v/>
      </c>
      <c r="H32" s="212" t="str">
        <f t="shared" si="11"/>
        <v/>
      </c>
      <c r="I32" s="212" t="str">
        <f t="shared" si="12"/>
        <v/>
      </c>
      <c r="J32" s="212" t="str">
        <f t="shared" si="13"/>
        <v/>
      </c>
      <c r="K32" s="210" t="str">
        <f>IF(A32="", "", VLOOKUP(A32, '計算機參數庫'!$B$2:$F$1001, 4, FALSE))</f>
        <v/>
      </c>
      <c r="L32" s="210" t="str">
        <f t="shared" si="14"/>
        <v/>
      </c>
      <c r="M32" s="212" t="str">
        <f>IF(A32="", "", VLOOKUP(A32, '計算機參數庫'!$B$2:$F$1001, 5, FALSE))</f>
        <v/>
      </c>
      <c r="N32" s="212" t="str">
        <f t="shared" si="15"/>
        <v/>
      </c>
      <c r="O32" s="189" t="str">
        <f>IFERROR(__xludf.DUMMYFUNCTION("IFERROR(IF(A32="""", """", I32 / GCD(FILTER($I$17:$I$100, ISNUMBER($I$17:$I$100), $I$17:$I$100&gt;0))), 1)"),"")</f>
        <v/>
      </c>
      <c r="P32" s="187" t="str">
        <f t="shared" si="16"/>
        <v/>
      </c>
      <c r="Q32" s="192"/>
    </row>
    <row r="33">
      <c r="A33" s="207"/>
      <c r="B33" s="207"/>
      <c r="C33" s="209" t="str">
        <f t="array" ref="C33">IF(A33="", "", IFERROR(INDEX('計算機參數庫'!$D$2:$D$1001, MATCH(1, ('計算機參數庫'!$B$2:$B$1001=A33) * (('計算機參數庫'!$A$2:$A$1001=$B$3) + ('計算機參數庫'!$A$2:$A$1001=$B$4) + ('計算機參數庫'!$A$2:$A$1001=$B$5)), 0)), VLOOKUP(A33, '計算機參數庫'!$B$2:$F$1001, 3, FALSE)))</f>
        <v/>
      </c>
      <c r="D33" s="211" t="str">
        <f t="array" ref="D33">IF(A33="", "", IF($B$3="(無)", 0, IFERROR($C$3 / INDEX('計算機參數庫'!$D$2:$D$1001, MATCH(1, ('計算機參數庫'!$A$2:$A$1001=$B$3)*('計算機參數庫'!$B$2:$B$1001=A33), 0)), 0)))</f>
        <v/>
      </c>
      <c r="E33" s="211" t="str">
        <f t="array" ref="E33">IF(A33="", "", IF($B$4="(無)", 0, IFERROR($C$4 / INDEX('計算機參數庫'!$D$2:$D$1001, MATCH(1, ('計算機參數庫'!$A$2:$A$1001=$B$4)*('計算機參數庫'!$B$2:$B$1001=A33), 0)), 0)))</f>
        <v/>
      </c>
      <c r="F33" s="211" t="str">
        <f t="array" ref="F33">IF(A33="", "", IF($B$5="(無)", 0, IFERROR($C$5 / INDEX('計算機參數庫'!$D$2:$D$1001, MATCH(1, ('計算機參數庫'!$A$2:$A$1001=$B$5)*('計算機參數庫'!$B$2:$B$1001=A33), 0)), 0)))</f>
        <v/>
      </c>
      <c r="G33" s="211" t="str">
        <f t="shared" si="10"/>
        <v/>
      </c>
      <c r="H33" s="212" t="str">
        <f t="shared" si="11"/>
        <v/>
      </c>
      <c r="I33" s="212" t="str">
        <f t="shared" si="12"/>
        <v/>
      </c>
      <c r="J33" s="212" t="str">
        <f t="shared" si="13"/>
        <v/>
      </c>
      <c r="K33" s="210" t="str">
        <f>IF(A33="", "", VLOOKUP(A33, '計算機參數庫'!$B$2:$F$1001, 4, FALSE))</f>
        <v/>
      </c>
      <c r="L33" s="210" t="str">
        <f t="shared" si="14"/>
        <v/>
      </c>
      <c r="M33" s="212" t="str">
        <f>IF(A33="", "", VLOOKUP(A33, '計算機參數庫'!$B$2:$F$1001, 5, FALSE))</f>
        <v/>
      </c>
      <c r="N33" s="212" t="str">
        <f t="shared" si="15"/>
        <v/>
      </c>
      <c r="O33" s="189" t="str">
        <f>IFERROR(__xludf.DUMMYFUNCTION("IFERROR(IF(A33="""", """", I33 / GCD(FILTER($I$17:$I$100, ISNUMBER($I$17:$I$100), $I$17:$I$100&gt;0))), 1)"),"")</f>
        <v/>
      </c>
      <c r="P33" s="187" t="str">
        <f t="shared" si="16"/>
        <v/>
      </c>
      <c r="Q33" s="192"/>
    </row>
    <row r="34">
      <c r="A34" s="207"/>
      <c r="B34" s="207"/>
      <c r="C34" s="209" t="str">
        <f t="array" ref="C34">IF(A34="", "", IFERROR(INDEX('計算機參數庫'!$D$2:$D$1001, MATCH(1, ('計算機參數庫'!$B$2:$B$1001=A34) * (('計算機參數庫'!$A$2:$A$1001=$B$3) + ('計算機參數庫'!$A$2:$A$1001=$B$4) + ('計算機參數庫'!$A$2:$A$1001=$B$5)), 0)), VLOOKUP(A34, '計算機參數庫'!$B$2:$F$1001, 3, FALSE)))</f>
        <v/>
      </c>
      <c r="D34" s="211" t="str">
        <f t="array" ref="D34">IF(A34="", "", IF($B$3="(無)", 0, IFERROR($C$3 / INDEX('計算機參數庫'!$D$2:$D$1001, MATCH(1, ('計算機參數庫'!$A$2:$A$1001=$B$3)*('計算機參數庫'!$B$2:$B$1001=A34), 0)), 0)))</f>
        <v/>
      </c>
      <c r="E34" s="211" t="str">
        <f t="array" ref="E34">IF(A34="", "", IF($B$4="(無)", 0, IFERROR($C$4 / INDEX('計算機參數庫'!$D$2:$D$1001, MATCH(1, ('計算機參數庫'!$A$2:$A$1001=$B$4)*('計算機參數庫'!$B$2:$B$1001=A34), 0)), 0)))</f>
        <v/>
      </c>
      <c r="F34" s="211" t="str">
        <f t="array" ref="F34">IF(A34="", "", IF($B$5="(無)", 0, IFERROR($C$5 / INDEX('計算機參數庫'!$D$2:$D$1001, MATCH(1, ('計算機參數庫'!$A$2:$A$1001=$B$5)*('計算機參數庫'!$B$2:$B$1001=A34), 0)), 0)))</f>
        <v/>
      </c>
      <c r="G34" s="211" t="str">
        <f t="shared" si="10"/>
        <v/>
      </c>
      <c r="H34" s="212" t="str">
        <f t="shared" si="11"/>
        <v/>
      </c>
      <c r="I34" s="212" t="str">
        <f t="shared" si="12"/>
        <v/>
      </c>
      <c r="J34" s="212" t="str">
        <f t="shared" si="13"/>
        <v/>
      </c>
      <c r="K34" s="210" t="str">
        <f>IF(A34="", "", VLOOKUP(A34, '計算機參數庫'!$B$2:$F$1001, 4, FALSE))</f>
        <v/>
      </c>
      <c r="L34" s="210" t="str">
        <f t="shared" si="14"/>
        <v/>
      </c>
      <c r="M34" s="212" t="str">
        <f>IF(A34="", "", VLOOKUP(A34, '計算機參數庫'!$B$2:$F$1001, 5, FALSE))</f>
        <v/>
      </c>
      <c r="N34" s="212" t="str">
        <f t="shared" si="15"/>
        <v/>
      </c>
      <c r="O34" s="189" t="str">
        <f>IFERROR(__xludf.DUMMYFUNCTION("IFERROR(IF(A34="""", """", I34 / GCD(FILTER($I$17:$I$100, ISNUMBER($I$17:$I$100), $I$17:$I$100&gt;0))), 1)"),"")</f>
        <v/>
      </c>
      <c r="P34" s="187" t="str">
        <f t="shared" si="16"/>
        <v/>
      </c>
      <c r="Q34" s="192"/>
    </row>
    <row r="35">
      <c r="A35" s="207"/>
      <c r="B35" s="207"/>
      <c r="C35" s="209" t="str">
        <f t="array" ref="C35">IF(A35="", "", IFERROR(INDEX('計算機參數庫'!$D$2:$D$1001, MATCH(1, ('計算機參數庫'!$B$2:$B$1001=A35) * (('計算機參數庫'!$A$2:$A$1001=$B$3) + ('計算機參數庫'!$A$2:$A$1001=$B$4) + ('計算機參數庫'!$A$2:$A$1001=$B$5)), 0)), VLOOKUP(A35, '計算機參數庫'!$B$2:$F$1001, 3, FALSE)))</f>
        <v/>
      </c>
      <c r="D35" s="211" t="str">
        <f t="array" ref="D35">IF(A35="", "", IF($B$3="(無)", 0, IFERROR($C$3 / INDEX('計算機參數庫'!$D$2:$D$1001, MATCH(1, ('計算機參數庫'!$A$2:$A$1001=$B$3)*('計算機參數庫'!$B$2:$B$1001=A35), 0)), 0)))</f>
        <v/>
      </c>
      <c r="E35" s="211" t="str">
        <f t="array" ref="E35">IF(A35="", "", IF($B$4="(無)", 0, IFERROR($C$4 / INDEX('計算機參數庫'!$D$2:$D$1001, MATCH(1, ('計算機參數庫'!$A$2:$A$1001=$B$4)*('計算機參數庫'!$B$2:$B$1001=A35), 0)), 0)))</f>
        <v/>
      </c>
      <c r="F35" s="211" t="str">
        <f t="array" ref="F35">IF(A35="", "", IF($B$5="(無)", 0, IFERROR($C$5 / INDEX('計算機參數庫'!$D$2:$D$1001, MATCH(1, ('計算機參數庫'!$A$2:$A$1001=$B$5)*('計算機參數庫'!$B$2:$B$1001=A35), 0)), 0)))</f>
        <v/>
      </c>
      <c r="G35" s="211" t="str">
        <f t="shared" si="10"/>
        <v/>
      </c>
      <c r="H35" s="212" t="str">
        <f t="shared" si="11"/>
        <v/>
      </c>
      <c r="I35" s="212" t="str">
        <f t="shared" si="12"/>
        <v/>
      </c>
      <c r="J35" s="212" t="str">
        <f t="shared" si="13"/>
        <v/>
      </c>
      <c r="K35" s="210" t="str">
        <f>IF(A35="", "", VLOOKUP(A35, '計算機參數庫'!$B$2:$F$1001, 4, FALSE))</f>
        <v/>
      </c>
      <c r="L35" s="210" t="str">
        <f t="shared" si="14"/>
        <v/>
      </c>
      <c r="M35" s="212" t="str">
        <f>IF(A35="", "", VLOOKUP(A35, '計算機參數庫'!$B$2:$F$1001, 5, FALSE))</f>
        <v/>
      </c>
      <c r="N35" s="212" t="str">
        <f t="shared" si="15"/>
        <v/>
      </c>
      <c r="O35" s="189" t="str">
        <f>IFERROR(__xludf.DUMMYFUNCTION("IFERROR(IF(A35="""", """", I35 / GCD(FILTER($I$17:$I$100, ISNUMBER($I$17:$I$100), $I$17:$I$100&gt;0))), 1)"),"")</f>
        <v/>
      </c>
      <c r="P35" s="187" t="str">
        <f t="shared" si="16"/>
        <v/>
      </c>
      <c r="Q35" s="192"/>
    </row>
    <row r="36">
      <c r="A36" s="207"/>
      <c r="B36" s="229"/>
      <c r="C36" s="230" t="str">
        <f t="array" ref="C36">IF(A36="", "", IFERROR(INDEX('計算機參數庫'!$D$2:$D$1001, MATCH(1, ('計算機參數庫'!$B$2:$B$1001=A36) * (('計算機參數庫'!$A$2:$A$1001=$B$3) + ('計算機參數庫'!$A$2:$A$1001=$B$4) + ('計算機參數庫'!$A$2:$A$1001=$B$5)), 0)), VLOOKUP(A36, '計算機參數庫'!$B$2:$F$1001, 3, FALSE)))</f>
        <v/>
      </c>
      <c r="D36" s="210" t="str">
        <f t="array" ref="D36">IF(A36="", "", IF($B$3="(無)", 0, IFERROR($C$3 / INDEX('計算機參數庫'!$D$2:$D$1001, MATCH(1, ('計算機參數庫'!$A$2:$A$1001=$B$3)*('計算機參數庫'!$B$2:$B$1001=A36), 0)), 0)))</f>
        <v/>
      </c>
      <c r="E36" s="210" t="str">
        <f t="array" ref="E36">IF(A36="", "", IF($B$4="(無)", 0, IFERROR($C$4 / INDEX('計算機參數庫'!$D$2:$D$1001, MATCH(1, ('計算機參數庫'!$A$2:$A$1001=$B$4)*('計算機參數庫'!$B$2:$B$1001=A36), 0)), 0)))</f>
        <v/>
      </c>
      <c r="F36" s="210" t="str">
        <f t="array" ref="F36">IF(A36="", "", IF($B$5="(無)", 0, IFERROR($C$5 / INDEX('計算機參數庫'!$D$2:$D$1001, MATCH(1, ('計算機參數庫'!$A$2:$A$1001=$B$5)*('計算機參數庫'!$B$2:$B$1001=A36), 0)), 0)))</f>
        <v/>
      </c>
      <c r="G36" s="210" t="str">
        <f t="shared" si="10"/>
        <v/>
      </c>
      <c r="H36" s="212" t="str">
        <f t="shared" si="11"/>
        <v/>
      </c>
      <c r="I36" s="212" t="str">
        <f t="shared" si="12"/>
        <v/>
      </c>
      <c r="J36" s="212" t="str">
        <f t="shared" si="13"/>
        <v/>
      </c>
      <c r="K36" s="210" t="str">
        <f>IF(A36="", "", VLOOKUP(A36, '計算機參數庫'!$B$2:$F$1001, 4, FALSE))</f>
        <v/>
      </c>
      <c r="L36" s="210" t="str">
        <f t="shared" si="14"/>
        <v/>
      </c>
      <c r="M36" s="212" t="str">
        <f>IF(A36="", "", VLOOKUP(A36, '計算機參數庫'!$B$2:$F$1001, 5, FALSE))</f>
        <v/>
      </c>
      <c r="N36" s="212" t="str">
        <f t="shared" si="15"/>
        <v/>
      </c>
      <c r="O36" s="189" t="str">
        <f>IFERROR(__xludf.DUMMYFUNCTION("IFERROR(IF(A36="""", """", I36 / GCD(FILTER($I$17:$I$100, ISNUMBER($I$17:$I$100), $I$17:$I$100&gt;0))), 1)"),"")</f>
        <v/>
      </c>
      <c r="P36" s="187" t="str">
        <f t="shared" si="16"/>
        <v/>
      </c>
      <c r="Q36" s="192"/>
    </row>
    <row r="37">
      <c r="A37" s="207"/>
      <c r="B37" s="229"/>
      <c r="C37" s="230" t="str">
        <f t="array" ref="C37">IF(A37="", "", IFERROR(INDEX('計算機參數庫'!$D$2:$D$1001, MATCH(1, ('計算機參數庫'!$B$2:$B$1001=A37) * (('計算機參數庫'!$A$2:$A$1001=$B$3) + ('計算機參數庫'!$A$2:$A$1001=$B$4) + ('計算機參數庫'!$A$2:$A$1001=$B$5)), 0)), VLOOKUP(A37, '計算機參數庫'!$B$2:$F$1001, 3, FALSE)))</f>
        <v/>
      </c>
      <c r="D37" s="210" t="str">
        <f t="array" ref="D37">IF(A37="", "", IF($B$3="(無)", 0, IFERROR($C$3 / INDEX('計算機參數庫'!$D$2:$D$1001, MATCH(1, ('計算機參數庫'!$A$2:$A$1001=$B$3)*('計算機參數庫'!$B$2:$B$1001=A37), 0)), 0)))</f>
        <v/>
      </c>
      <c r="E37" s="210" t="str">
        <f t="array" ref="E37">IF(A37="", "", IF($B$4="(無)", 0, IFERROR($C$4 / INDEX('計算機參數庫'!$D$2:$D$1001, MATCH(1, ('計算機參數庫'!$A$2:$A$1001=$B$4)*('計算機參數庫'!$B$2:$B$1001=A37), 0)), 0)))</f>
        <v/>
      </c>
      <c r="F37" s="210" t="str">
        <f t="array" ref="F37">IF(A37="", "", IF($B$5="(無)", 0, IFERROR($C$5 / INDEX('計算機參數庫'!$D$2:$D$1001, MATCH(1, ('計算機參數庫'!$A$2:$A$1001=$B$5)*('計算機參數庫'!$B$2:$B$1001=A37), 0)), 0)))</f>
        <v/>
      </c>
      <c r="G37" s="210" t="str">
        <f t="shared" si="10"/>
        <v/>
      </c>
      <c r="H37" s="212" t="str">
        <f t="shared" si="11"/>
        <v/>
      </c>
      <c r="I37" s="212" t="str">
        <f t="shared" si="12"/>
        <v/>
      </c>
      <c r="J37" s="212" t="str">
        <f t="shared" si="13"/>
        <v/>
      </c>
      <c r="K37" s="210" t="str">
        <f>IF(A37="", "", VLOOKUP(A37, '計算機參數庫'!$B$2:$F$1001, 4, FALSE))</f>
        <v/>
      </c>
      <c r="L37" s="210" t="str">
        <f t="shared" si="14"/>
        <v/>
      </c>
      <c r="M37" s="212" t="str">
        <f>IF(A37="", "", VLOOKUP(A37, '計算機參數庫'!$B$2:$F$1001, 5, FALSE))</f>
        <v/>
      </c>
      <c r="N37" s="212" t="str">
        <f t="shared" si="15"/>
        <v/>
      </c>
      <c r="O37" s="189" t="str">
        <f>IFERROR(__xludf.DUMMYFUNCTION("IFERROR(IF(A37="""", """", I37 / GCD(FILTER($I$17:$I$100, ISNUMBER($I$17:$I$100), $I$17:$I$100&gt;0))), 1)"),"")</f>
        <v/>
      </c>
      <c r="P37" s="187" t="str">
        <f t="shared" si="16"/>
        <v/>
      </c>
      <c r="Q37" s="192"/>
    </row>
    <row r="38">
      <c r="A38" s="207"/>
      <c r="B38" s="229"/>
      <c r="C38" s="230" t="str">
        <f t="array" ref="C38">IF(A38="", "", IFERROR(INDEX('計算機參數庫'!$D$2:$D$1001, MATCH(1, ('計算機參數庫'!$B$2:$B$1001=A38) * (('計算機參數庫'!$A$2:$A$1001=$B$3) + ('計算機參數庫'!$A$2:$A$1001=$B$4) + ('計算機參數庫'!$A$2:$A$1001=$B$5)), 0)), VLOOKUP(A38, '計算機參數庫'!$B$2:$F$1001, 3, FALSE)))</f>
        <v/>
      </c>
      <c r="D38" s="210" t="str">
        <f t="array" ref="D38">IF(A38="", "", IF($B$3="(無)", 0, IFERROR($C$3 / INDEX('計算機參數庫'!$D$2:$D$1001, MATCH(1, ('計算機參數庫'!$A$2:$A$1001=$B$3)*('計算機參數庫'!$B$2:$B$1001=A38), 0)), 0)))</f>
        <v/>
      </c>
      <c r="E38" s="210" t="str">
        <f t="array" ref="E38">IF(A38="", "", IF($B$4="(無)", 0, IFERROR($C$4 / INDEX('計算機參數庫'!$D$2:$D$1001, MATCH(1, ('計算機參數庫'!$A$2:$A$1001=$B$4)*('計算機參數庫'!$B$2:$B$1001=A38), 0)), 0)))</f>
        <v/>
      </c>
      <c r="F38" s="210" t="str">
        <f t="array" ref="F38">IF(A38="", "", IF($B$5="(無)", 0, IFERROR($C$5 / INDEX('計算機參數庫'!$D$2:$D$1001, MATCH(1, ('計算機參數庫'!$A$2:$A$1001=$B$5)*('計算機參數庫'!$B$2:$B$1001=A38), 0)), 0)))</f>
        <v/>
      </c>
      <c r="G38" s="210" t="str">
        <f t="shared" si="10"/>
        <v/>
      </c>
      <c r="H38" s="212" t="str">
        <f t="shared" si="11"/>
        <v/>
      </c>
      <c r="I38" s="212" t="str">
        <f t="shared" si="12"/>
        <v/>
      </c>
      <c r="J38" s="212" t="str">
        <f t="shared" si="13"/>
        <v/>
      </c>
      <c r="K38" s="210" t="str">
        <f>IF(A38="", "", VLOOKUP(A38, '計算機參數庫'!$B$2:$F$1001, 4, FALSE))</f>
        <v/>
      </c>
      <c r="L38" s="210" t="str">
        <f t="shared" si="14"/>
        <v/>
      </c>
      <c r="M38" s="212" t="str">
        <f>IF(A38="", "", VLOOKUP(A38, '計算機參數庫'!$B$2:$F$1001, 5, FALSE))</f>
        <v/>
      </c>
      <c r="N38" s="212" t="str">
        <f t="shared" si="15"/>
        <v/>
      </c>
      <c r="O38" s="189" t="str">
        <f>IFERROR(__xludf.DUMMYFUNCTION("IFERROR(IF(A38="""", """", I38 / GCD(FILTER($I$17:$I$100, ISNUMBER($I$17:$I$100), $I$17:$I$100&gt;0))), 1)"),"")</f>
        <v/>
      </c>
      <c r="P38" s="187" t="str">
        <f t="shared" si="16"/>
        <v/>
      </c>
      <c r="Q38" s="192"/>
    </row>
    <row r="39">
      <c r="A39" s="207"/>
      <c r="B39" s="229"/>
      <c r="C39" s="230" t="str">
        <f t="array" ref="C39">IF(A39="", "", IFERROR(INDEX('計算機參數庫'!$D$2:$D$1001, MATCH(1, ('計算機參數庫'!$B$2:$B$1001=A39) * (('計算機參數庫'!$A$2:$A$1001=$B$3) + ('計算機參數庫'!$A$2:$A$1001=$B$4) + ('計算機參數庫'!$A$2:$A$1001=$B$5)), 0)), VLOOKUP(A39, '計算機參數庫'!$B$2:$F$1001, 3, FALSE)))</f>
        <v/>
      </c>
      <c r="D39" s="210" t="str">
        <f t="array" ref="D39">IF(A39="", "", IF($B$3="(無)", 0, IFERROR($C$3 / INDEX('計算機參數庫'!$D$2:$D$1001, MATCH(1, ('計算機參數庫'!$A$2:$A$1001=$B$3)*('計算機參數庫'!$B$2:$B$1001=A39), 0)), 0)))</f>
        <v/>
      </c>
      <c r="E39" s="210" t="str">
        <f t="array" ref="E39">IF(A39="", "", IF($B$4="(無)", 0, IFERROR($C$4 / INDEX('計算機參數庫'!$D$2:$D$1001, MATCH(1, ('計算機參數庫'!$A$2:$A$1001=$B$4)*('計算機參數庫'!$B$2:$B$1001=A39), 0)), 0)))</f>
        <v/>
      </c>
      <c r="F39" s="210" t="str">
        <f t="array" ref="F39">IF(A39="", "", IF($B$5="(無)", 0, IFERROR($C$5 / INDEX('計算機參數庫'!$D$2:$D$1001, MATCH(1, ('計算機參數庫'!$A$2:$A$1001=$B$5)*('計算機參數庫'!$B$2:$B$1001=A39), 0)), 0)))</f>
        <v/>
      </c>
      <c r="G39" s="210" t="str">
        <f t="shared" si="10"/>
        <v/>
      </c>
      <c r="H39" s="212" t="str">
        <f t="shared" si="11"/>
        <v/>
      </c>
      <c r="I39" s="212" t="str">
        <f t="shared" si="12"/>
        <v/>
      </c>
      <c r="J39" s="212" t="str">
        <f t="shared" si="13"/>
        <v/>
      </c>
      <c r="K39" s="210" t="str">
        <f>IF(A39="", "", VLOOKUP(A39, '計算機參數庫'!$B$2:$F$1001, 4, FALSE))</f>
        <v/>
      </c>
      <c r="L39" s="210" t="str">
        <f t="shared" si="14"/>
        <v/>
      </c>
      <c r="M39" s="212" t="str">
        <f>IF(A39="", "", VLOOKUP(A39, '計算機參數庫'!$B$2:$F$1001, 5, FALSE))</f>
        <v/>
      </c>
      <c r="N39" s="212" t="str">
        <f t="shared" si="15"/>
        <v/>
      </c>
      <c r="O39" s="189" t="str">
        <f>IFERROR(__xludf.DUMMYFUNCTION("IFERROR(IF(A39="""", """", I39 / GCD(FILTER($I$17:$I$100, ISNUMBER($I$17:$I$100), $I$17:$I$100&gt;0))), 1)"),"")</f>
        <v/>
      </c>
      <c r="P39" s="187" t="str">
        <f t="shared" si="16"/>
        <v/>
      </c>
      <c r="Q39" s="192"/>
    </row>
    <row r="40">
      <c r="A40" s="229"/>
      <c r="B40" s="229"/>
      <c r="C40" s="230" t="str">
        <f t="array" ref="C40">IF(A40="", "", IFERROR(INDEX('計算機參數庫'!$D$2:$D$1001, MATCH(1, ('計算機參數庫'!$B$2:$B$1001=A40) * (('計算機參數庫'!$A$2:$A$1001=$B$3) + ('計算機參數庫'!$A$2:$A$1001=$B$4) + ('計算機參數庫'!$A$2:$A$1001=$B$5)), 0)), VLOOKUP(A40, '計算機參數庫'!$B$2:$F$1001, 3, FALSE)))</f>
        <v/>
      </c>
      <c r="D40" s="210" t="str">
        <f t="array" ref="D40">IF(A40="", "", IF($B$3="(無)", 0, IFERROR($C$3 / INDEX('計算機參數庫'!$D$2:$D$1001, MATCH(1, ('計算機參數庫'!$A$2:$A$1001=$B$3)*('計算機參數庫'!$B$2:$B$1001=A40), 0)), 0)))</f>
        <v/>
      </c>
      <c r="E40" s="210" t="str">
        <f t="array" ref="E40">IF(A40="", "", IF($B$4="(無)", 0, IFERROR($C$4 / INDEX('計算機參數庫'!$D$2:$D$1001, MATCH(1, ('計算機參數庫'!$A$2:$A$1001=$B$4)*('計算機參數庫'!$B$2:$B$1001=A40), 0)), 0)))</f>
        <v/>
      </c>
      <c r="F40" s="210" t="str">
        <f t="array" ref="F40">IF(A40="", "", IF($B$5="(無)", 0, IFERROR($C$5 / INDEX('計算機參數庫'!$D$2:$D$1001, MATCH(1, ('計算機參數庫'!$A$2:$A$1001=$B$5)*('計算機參數庫'!$B$2:$B$1001=A40), 0)), 0)))</f>
        <v/>
      </c>
      <c r="G40" s="210" t="str">
        <f t="shared" si="10"/>
        <v/>
      </c>
      <c r="H40" s="212" t="str">
        <f t="shared" si="11"/>
        <v/>
      </c>
      <c r="I40" s="212" t="str">
        <f t="shared" si="12"/>
        <v/>
      </c>
      <c r="J40" s="212" t="str">
        <f t="shared" si="13"/>
        <v/>
      </c>
      <c r="K40" s="210" t="str">
        <f>IF(A40="", "", VLOOKUP(A40, '計算機參數庫'!$B$2:$F$1001, 4, FALSE))</f>
        <v/>
      </c>
      <c r="L40" s="210" t="str">
        <f t="shared" si="14"/>
        <v/>
      </c>
      <c r="M40" s="212" t="str">
        <f>IF(A40="", "", VLOOKUP(A40, '計算機參數庫'!$B$2:$F$1001, 5, FALSE))</f>
        <v/>
      </c>
      <c r="N40" s="212" t="str">
        <f t="shared" si="15"/>
        <v/>
      </c>
      <c r="O40" s="189" t="str">
        <f>IFERROR(__xludf.DUMMYFUNCTION("IFERROR(IF(A40="""", """", I40 / GCD(FILTER($I$17:$I$100, ISNUMBER($I$17:$I$100), $I$17:$I$100&gt;0))), 1)"),"")</f>
        <v/>
      </c>
      <c r="P40" s="187" t="str">
        <f t="shared" si="16"/>
        <v/>
      </c>
      <c r="Q40" s="192"/>
    </row>
    <row r="41">
      <c r="A41" s="229"/>
      <c r="B41" s="229"/>
      <c r="C41" s="230" t="str">
        <f t="array" ref="C41">IF(A41="", "", IFERROR(INDEX('計算機參數庫'!$D$2:$D$1001, MATCH(1, ('計算機參數庫'!$B$2:$B$1001=A41) * (('計算機參數庫'!$A$2:$A$1001=$B$3) + ('計算機參數庫'!$A$2:$A$1001=$B$4) + ('計算機參數庫'!$A$2:$A$1001=$B$5)), 0)), VLOOKUP(A41, '計算機參數庫'!$B$2:$F$1001, 3, FALSE)))</f>
        <v/>
      </c>
      <c r="D41" s="210" t="str">
        <f t="array" ref="D41">IF(A41="", "", IF($B$3="(無)", 0, IFERROR($C$3 / INDEX('計算機參數庫'!$D$2:$D$1001, MATCH(1, ('計算機參數庫'!$A$2:$A$1001=$B$3)*('計算機參數庫'!$B$2:$B$1001=A41), 0)), 0)))</f>
        <v/>
      </c>
      <c r="E41" s="210" t="str">
        <f t="array" ref="E41">IF(A41="", "", IF($B$4="(無)", 0, IFERROR($C$4 / INDEX('計算機參數庫'!$D$2:$D$1001, MATCH(1, ('計算機參數庫'!$A$2:$A$1001=$B$4)*('計算機參數庫'!$B$2:$B$1001=A41), 0)), 0)))</f>
        <v/>
      </c>
      <c r="F41" s="210" t="str">
        <f t="array" ref="F41">IF(A41="", "", IF($B$5="(無)", 0, IFERROR($C$5 / INDEX('計算機參數庫'!$D$2:$D$1001, MATCH(1, ('計算機參數庫'!$A$2:$A$1001=$B$5)*('計算機參數庫'!$B$2:$B$1001=A41), 0)), 0)))</f>
        <v/>
      </c>
      <c r="G41" s="210" t="str">
        <f t="shared" si="10"/>
        <v/>
      </c>
      <c r="H41" s="212" t="str">
        <f t="shared" si="11"/>
        <v/>
      </c>
      <c r="I41" s="212" t="str">
        <f t="shared" si="12"/>
        <v/>
      </c>
      <c r="J41" s="212" t="str">
        <f t="shared" si="13"/>
        <v/>
      </c>
      <c r="K41" s="210" t="str">
        <f>IF(A41="", "", VLOOKUP(A41, '計算機參數庫'!$B$2:$F$1001, 4, FALSE))</f>
        <v/>
      </c>
      <c r="L41" s="210" t="str">
        <f t="shared" si="14"/>
        <v/>
      </c>
      <c r="M41" s="212" t="str">
        <f>IF(A41="", "", VLOOKUP(A41, '計算機參數庫'!$B$2:$F$1001, 5, FALSE))</f>
        <v/>
      </c>
      <c r="N41" s="212" t="str">
        <f t="shared" si="15"/>
        <v/>
      </c>
      <c r="O41" s="189" t="str">
        <f>IFERROR(__xludf.DUMMYFUNCTION("IFERROR(IF(A41="""", """", I41 / GCD(FILTER($I$17:$I$100, ISNUMBER($I$17:$I$100), $I$17:$I$100&gt;0))), 1)"),"")</f>
        <v/>
      </c>
      <c r="P41" s="187" t="str">
        <f t="shared" si="16"/>
        <v/>
      </c>
      <c r="Q41" s="192"/>
    </row>
    <row r="42">
      <c r="A42" s="229"/>
      <c r="B42" s="229"/>
      <c r="C42" s="230" t="str">
        <f t="array" ref="C42">IF(A42="", "", IFERROR(INDEX('計算機參數庫'!$D$2:$D$1001, MATCH(1, ('計算機參數庫'!$B$2:$B$1001=A42) * (('計算機參數庫'!$A$2:$A$1001=$B$3) + ('計算機參數庫'!$A$2:$A$1001=$B$4) + ('計算機參數庫'!$A$2:$A$1001=$B$5)), 0)), VLOOKUP(A42, '計算機參數庫'!$B$2:$F$1001, 3, FALSE)))</f>
        <v/>
      </c>
      <c r="D42" s="210" t="str">
        <f t="array" ref="D42">IF(A42="", "", IF($B$3="(無)", 0, IFERROR($C$3 / INDEX('計算機參數庫'!$D$2:$D$1001, MATCH(1, ('計算機參數庫'!$A$2:$A$1001=$B$3)*('計算機參數庫'!$B$2:$B$1001=A42), 0)), 0)))</f>
        <v/>
      </c>
      <c r="E42" s="210" t="str">
        <f t="array" ref="E42">IF(A42="", "", IF($B$4="(無)", 0, IFERROR($C$4 / INDEX('計算機參數庫'!$D$2:$D$1001, MATCH(1, ('計算機參數庫'!$A$2:$A$1001=$B$4)*('計算機參數庫'!$B$2:$B$1001=A42), 0)), 0)))</f>
        <v/>
      </c>
      <c r="F42" s="210" t="str">
        <f t="array" ref="F42">IF(A42="", "", IF($B$5="(無)", 0, IFERROR($C$5 / INDEX('計算機參數庫'!$D$2:$D$1001, MATCH(1, ('計算機參數庫'!$A$2:$A$1001=$B$5)*('計算機參數庫'!$B$2:$B$1001=A42), 0)), 0)))</f>
        <v/>
      </c>
      <c r="G42" s="210" t="str">
        <f t="shared" si="10"/>
        <v/>
      </c>
      <c r="H42" s="212" t="str">
        <f t="shared" si="11"/>
        <v/>
      </c>
      <c r="I42" s="212" t="str">
        <f t="shared" si="12"/>
        <v/>
      </c>
      <c r="J42" s="212" t="str">
        <f t="shared" si="13"/>
        <v/>
      </c>
      <c r="K42" s="210" t="str">
        <f>IF(A42="", "", VLOOKUP(A42, '計算機參數庫'!$B$2:$F$1001, 4, FALSE))</f>
        <v/>
      </c>
      <c r="L42" s="210" t="str">
        <f t="shared" si="14"/>
        <v/>
      </c>
      <c r="M42" s="212" t="str">
        <f>IF(A42="", "", VLOOKUP(A42, '計算機參數庫'!$B$2:$F$1001, 5, FALSE))</f>
        <v/>
      </c>
      <c r="N42" s="212" t="str">
        <f t="shared" si="15"/>
        <v/>
      </c>
      <c r="O42" s="189" t="str">
        <f>IFERROR(__xludf.DUMMYFUNCTION("IFERROR(IF(A42="""", """", I42 / GCD(FILTER($I$17:$I$100, ISNUMBER($I$17:$I$100), $I$17:$I$100&gt;0))), 1)"),"")</f>
        <v/>
      </c>
      <c r="P42" s="187" t="str">
        <f t="shared" si="16"/>
        <v/>
      </c>
      <c r="Q42" s="192"/>
    </row>
    <row r="43">
      <c r="A43" s="229"/>
      <c r="B43" s="229"/>
      <c r="C43" s="230" t="str">
        <f t="array" ref="C43">IF(A43="", "", IFERROR(INDEX('計算機參數庫'!$D$2:$D$1001, MATCH(1, ('計算機參數庫'!$B$2:$B$1001=A43) * (('計算機參數庫'!$A$2:$A$1001=$B$3) + ('計算機參數庫'!$A$2:$A$1001=$B$4) + ('計算機參數庫'!$A$2:$A$1001=$B$5)), 0)), VLOOKUP(A43, '計算機參數庫'!$B$2:$F$1001, 3, FALSE)))</f>
        <v/>
      </c>
      <c r="D43" s="210" t="str">
        <f t="array" ref="D43">IF(A43="", "", IF($B$3="(無)", 0, IFERROR($C$3 / INDEX('計算機參數庫'!$D$2:$D$1001, MATCH(1, ('計算機參數庫'!$A$2:$A$1001=$B$3)*('計算機參數庫'!$B$2:$B$1001=A43), 0)), 0)))</f>
        <v/>
      </c>
      <c r="E43" s="210" t="str">
        <f t="array" ref="E43">IF(A43="", "", IF($B$4="(無)", 0, IFERROR($C$4 / INDEX('計算機參數庫'!$D$2:$D$1001, MATCH(1, ('計算機參數庫'!$A$2:$A$1001=$B$4)*('計算機參數庫'!$B$2:$B$1001=A43), 0)), 0)))</f>
        <v/>
      </c>
      <c r="F43" s="210" t="str">
        <f t="array" ref="F43">IF(A43="", "", IF($B$5="(無)", 0, IFERROR($C$5 / INDEX('計算機參數庫'!$D$2:$D$1001, MATCH(1, ('計算機參數庫'!$A$2:$A$1001=$B$5)*('計算機參數庫'!$B$2:$B$1001=A43), 0)), 0)))</f>
        <v/>
      </c>
      <c r="G43" s="210" t="str">
        <f t="shared" si="10"/>
        <v/>
      </c>
      <c r="H43" s="212" t="str">
        <f t="shared" si="11"/>
        <v/>
      </c>
      <c r="I43" s="212" t="str">
        <f t="shared" si="12"/>
        <v/>
      </c>
      <c r="J43" s="212" t="str">
        <f t="shared" si="13"/>
        <v/>
      </c>
      <c r="K43" s="210" t="str">
        <f>IF(A43="", "", VLOOKUP(A43, '計算機參數庫'!$B$2:$F$1001, 4, FALSE))</f>
        <v/>
      </c>
      <c r="L43" s="210" t="str">
        <f t="shared" si="14"/>
        <v/>
      </c>
      <c r="M43" s="212" t="str">
        <f>IF(A43="", "", VLOOKUP(A43, '計算機參數庫'!$B$2:$F$1001, 5, FALSE))</f>
        <v/>
      </c>
      <c r="N43" s="212" t="str">
        <f t="shared" si="15"/>
        <v/>
      </c>
      <c r="O43" s="189" t="str">
        <f>IFERROR(__xludf.DUMMYFUNCTION("IFERROR(IF(A43="""", """", I43 / GCD(FILTER($I$17:$I$100, ISNUMBER($I$17:$I$100), $I$17:$I$100&gt;0))), 1)"),"")</f>
        <v/>
      </c>
      <c r="P43" s="187" t="str">
        <f t="shared" si="16"/>
        <v/>
      </c>
      <c r="Q43" s="192"/>
    </row>
    <row r="44">
      <c r="A44" s="229"/>
      <c r="B44" s="229"/>
      <c r="C44" s="230" t="str">
        <f t="array" ref="C44">IF(A44="", "", IFERROR(INDEX('計算機參數庫'!$D$2:$D$1001, MATCH(1, ('計算機參數庫'!$B$2:$B$1001=A44) * (('計算機參數庫'!$A$2:$A$1001=$B$3) + ('計算機參數庫'!$A$2:$A$1001=$B$4) + ('計算機參數庫'!$A$2:$A$1001=$B$5)), 0)), VLOOKUP(A44, '計算機參數庫'!$B$2:$F$1001, 3, FALSE)))</f>
        <v/>
      </c>
      <c r="D44" s="210" t="str">
        <f t="array" ref="D44">IF(A44="", "", IF($B$3="(無)", 0, IFERROR($C$3 / INDEX('計算機參數庫'!$D$2:$D$1001, MATCH(1, ('計算機參數庫'!$A$2:$A$1001=$B$3)*('計算機參數庫'!$B$2:$B$1001=A44), 0)), 0)))</f>
        <v/>
      </c>
      <c r="E44" s="210" t="str">
        <f t="array" ref="E44">IF(A44="", "", IF($B$4="(無)", 0, IFERROR($C$4 / INDEX('計算機參數庫'!$D$2:$D$1001, MATCH(1, ('計算機參數庫'!$A$2:$A$1001=$B$4)*('計算機參數庫'!$B$2:$B$1001=A44), 0)), 0)))</f>
        <v/>
      </c>
      <c r="F44" s="210" t="str">
        <f t="array" ref="F44">IF(A44="", "", IF($B$5="(無)", 0, IFERROR($C$5 / INDEX('計算機參數庫'!$D$2:$D$1001, MATCH(1, ('計算機參數庫'!$A$2:$A$1001=$B$5)*('計算機參數庫'!$B$2:$B$1001=A44), 0)), 0)))</f>
        <v/>
      </c>
      <c r="G44" s="210" t="str">
        <f t="shared" si="10"/>
        <v/>
      </c>
      <c r="H44" s="212" t="str">
        <f t="shared" si="11"/>
        <v/>
      </c>
      <c r="I44" s="212" t="str">
        <f t="shared" si="12"/>
        <v/>
      </c>
      <c r="J44" s="212" t="str">
        <f t="shared" si="13"/>
        <v/>
      </c>
      <c r="K44" s="210" t="str">
        <f>IF(A44="", "", VLOOKUP(A44, '計算機參數庫'!$B$2:$F$1001, 4, FALSE))</f>
        <v/>
      </c>
      <c r="L44" s="210" t="str">
        <f t="shared" si="14"/>
        <v/>
      </c>
      <c r="M44" s="212" t="str">
        <f>IF(A44="", "", VLOOKUP(A44, '計算機參數庫'!$B$2:$F$1001, 5, FALSE))</f>
        <v/>
      </c>
      <c r="N44" s="212" t="str">
        <f t="shared" si="15"/>
        <v/>
      </c>
      <c r="O44" s="189" t="str">
        <f>IFERROR(__xludf.DUMMYFUNCTION("IFERROR(IF(A44="""", """", I44 / GCD(FILTER($I$17:$I$100, ISNUMBER($I$17:$I$100), $I$17:$I$100&gt;0))), 1)"),"")</f>
        <v/>
      </c>
      <c r="P44" s="187" t="str">
        <f t="shared" si="16"/>
        <v/>
      </c>
      <c r="Q44" s="192"/>
    </row>
    <row r="45">
      <c r="A45" s="229"/>
      <c r="B45" s="229"/>
      <c r="C45" s="230" t="str">
        <f t="array" ref="C45">IF(A45="", "", IFERROR(INDEX('計算機參數庫'!$D$2:$D$1001, MATCH(1, ('計算機參數庫'!$B$2:$B$1001=A45) * (('計算機參數庫'!$A$2:$A$1001=$B$3) + ('計算機參數庫'!$A$2:$A$1001=$B$4) + ('計算機參數庫'!$A$2:$A$1001=$B$5)), 0)), VLOOKUP(A45, '計算機參數庫'!$B$2:$F$1001, 3, FALSE)))</f>
        <v/>
      </c>
      <c r="D45" s="210" t="str">
        <f t="array" ref="D45">IF(A45="", "", IF($B$3="(無)", 0, IFERROR($C$3 / INDEX('計算機參數庫'!$D$2:$D$1001, MATCH(1, ('計算機參數庫'!$A$2:$A$1001=$B$3)*('計算機參數庫'!$B$2:$B$1001=A45), 0)), 0)))</f>
        <v/>
      </c>
      <c r="E45" s="210" t="str">
        <f t="array" ref="E45">IF(A45="", "", IF($B$4="(無)", 0, IFERROR($C$4 / INDEX('計算機參數庫'!$D$2:$D$1001, MATCH(1, ('計算機參數庫'!$A$2:$A$1001=$B$4)*('計算機參數庫'!$B$2:$B$1001=A45), 0)), 0)))</f>
        <v/>
      </c>
      <c r="F45" s="210" t="str">
        <f t="array" ref="F45">IF(A45="", "", IF($B$5="(無)", 0, IFERROR($C$5 / INDEX('計算機參數庫'!$D$2:$D$1001, MATCH(1, ('計算機參數庫'!$A$2:$A$1001=$B$5)*('計算機參數庫'!$B$2:$B$1001=A45), 0)), 0)))</f>
        <v/>
      </c>
      <c r="G45" s="210" t="str">
        <f t="shared" si="10"/>
        <v/>
      </c>
      <c r="H45" s="212" t="str">
        <f t="shared" si="11"/>
        <v/>
      </c>
      <c r="I45" s="212" t="str">
        <f t="shared" si="12"/>
        <v/>
      </c>
      <c r="J45" s="212" t="str">
        <f t="shared" si="13"/>
        <v/>
      </c>
      <c r="K45" s="210" t="str">
        <f>IF(A45="", "", VLOOKUP(A45, '計算機參數庫'!$B$2:$F$1001, 4, FALSE))</f>
        <v/>
      </c>
      <c r="L45" s="210" t="str">
        <f t="shared" si="14"/>
        <v/>
      </c>
      <c r="M45" s="212" t="str">
        <f>IF(A45="", "", VLOOKUP(A45, '計算機參數庫'!$B$2:$F$1001, 5, FALSE))</f>
        <v/>
      </c>
      <c r="N45" s="212" t="str">
        <f t="shared" si="15"/>
        <v/>
      </c>
      <c r="O45" s="189" t="str">
        <f>IFERROR(__xludf.DUMMYFUNCTION("IFERROR(IF(A45="""", """", I45 / GCD(FILTER($I$17:$I$100, ISNUMBER($I$17:$I$100), $I$17:$I$100&gt;0))), 1)"),"")</f>
        <v/>
      </c>
      <c r="P45" s="187" t="str">
        <f t="shared" si="16"/>
        <v/>
      </c>
      <c r="Q45" s="192"/>
    </row>
    <row r="46">
      <c r="A46" s="229"/>
      <c r="B46" s="229"/>
      <c r="C46" s="230" t="str">
        <f t="array" ref="C46">IF(A46="", "", IFERROR(INDEX('計算機參數庫'!$D$2:$D$1001, MATCH(1, ('計算機參數庫'!$B$2:$B$1001=A46) * (('計算機參數庫'!$A$2:$A$1001=$B$3) + ('計算機參數庫'!$A$2:$A$1001=$B$4) + ('計算機參數庫'!$A$2:$A$1001=$B$5)), 0)), VLOOKUP(A46, '計算機參數庫'!$B$2:$F$1001, 3, FALSE)))</f>
        <v/>
      </c>
      <c r="D46" s="210" t="str">
        <f t="array" ref="D46">IF(A46="", "", IF($B$3="(無)", 0, IFERROR($C$3 / INDEX('計算機參數庫'!$D$2:$D$1001, MATCH(1, ('計算機參數庫'!$A$2:$A$1001=$B$3)*('計算機參數庫'!$B$2:$B$1001=A46), 0)), 0)))</f>
        <v/>
      </c>
      <c r="E46" s="210" t="str">
        <f t="array" ref="E46">IF(A46="", "", IF($B$4="(無)", 0, IFERROR($C$4 / INDEX('計算機參數庫'!$D$2:$D$1001, MATCH(1, ('計算機參數庫'!$A$2:$A$1001=$B$4)*('計算機參數庫'!$B$2:$B$1001=A46), 0)), 0)))</f>
        <v/>
      </c>
      <c r="F46" s="210" t="str">
        <f t="array" ref="F46">IF(A46="", "", IF($B$5="(無)", 0, IFERROR($C$5 / INDEX('計算機參數庫'!$D$2:$D$1001, MATCH(1, ('計算機參數庫'!$A$2:$A$1001=$B$5)*('計算機參數庫'!$B$2:$B$1001=A46), 0)), 0)))</f>
        <v/>
      </c>
      <c r="G46" s="210" t="str">
        <f t="shared" si="10"/>
        <v/>
      </c>
      <c r="H46" s="212" t="str">
        <f t="shared" si="11"/>
        <v/>
      </c>
      <c r="I46" s="212" t="str">
        <f t="shared" si="12"/>
        <v/>
      </c>
      <c r="J46" s="212" t="str">
        <f t="shared" si="13"/>
        <v/>
      </c>
      <c r="K46" s="210" t="str">
        <f>IF(A46="", "", VLOOKUP(A46, '計算機參數庫'!$B$2:$F$1001, 4, FALSE))</f>
        <v/>
      </c>
      <c r="L46" s="210" t="str">
        <f t="shared" si="14"/>
        <v/>
      </c>
      <c r="M46" s="212" t="str">
        <f>IF(A46="", "", VLOOKUP(A46, '計算機參數庫'!$B$2:$F$1001, 5, FALSE))</f>
        <v/>
      </c>
      <c r="N46" s="212" t="str">
        <f t="shared" si="15"/>
        <v/>
      </c>
      <c r="O46" s="189" t="str">
        <f>IFERROR(__xludf.DUMMYFUNCTION("IFERROR(IF(A46="""", """", I46 / GCD(FILTER($I$17:$I$100, ISNUMBER($I$17:$I$100), $I$17:$I$100&gt;0))), 1)"),"")</f>
        <v/>
      </c>
      <c r="P46" s="187" t="str">
        <f t="shared" si="16"/>
        <v/>
      </c>
      <c r="Q46" s="192"/>
    </row>
    <row r="47">
      <c r="A47" s="229"/>
      <c r="B47" s="229"/>
      <c r="C47" s="230" t="str">
        <f t="array" ref="C47">IF(A47="", "", IFERROR(INDEX('計算機參數庫'!$D$2:$D$1001, MATCH(1, ('計算機參數庫'!$B$2:$B$1001=A47) * (('計算機參數庫'!$A$2:$A$1001=$B$3) + ('計算機參數庫'!$A$2:$A$1001=$B$4) + ('計算機參數庫'!$A$2:$A$1001=$B$5)), 0)), VLOOKUP(A47, '計算機參數庫'!$B$2:$F$1001, 3, FALSE)))</f>
        <v/>
      </c>
      <c r="D47" s="210" t="str">
        <f t="array" ref="D47">IF(A47="", "", IF($B$3="(無)", 0, IFERROR($C$3 / INDEX('計算機參數庫'!$D$2:$D$1001, MATCH(1, ('計算機參數庫'!$A$2:$A$1001=$B$3)*('計算機參數庫'!$B$2:$B$1001=A47), 0)), 0)))</f>
        <v/>
      </c>
      <c r="E47" s="210" t="str">
        <f t="array" ref="E47">IF(A47="", "", IF($B$4="(無)", 0, IFERROR($C$4 / INDEX('計算機參數庫'!$D$2:$D$1001, MATCH(1, ('計算機參數庫'!$A$2:$A$1001=$B$4)*('計算機參數庫'!$B$2:$B$1001=A47), 0)), 0)))</f>
        <v/>
      </c>
      <c r="F47" s="210" t="str">
        <f t="array" ref="F47">IF(A47="", "", IF($B$5="(無)", 0, IFERROR($C$5 / INDEX('計算機參數庫'!$D$2:$D$1001, MATCH(1, ('計算機參數庫'!$A$2:$A$1001=$B$5)*('計算機參數庫'!$B$2:$B$1001=A47), 0)), 0)))</f>
        <v/>
      </c>
      <c r="G47" s="210" t="str">
        <f t="shared" si="10"/>
        <v/>
      </c>
      <c r="H47" s="212" t="str">
        <f t="shared" si="11"/>
        <v/>
      </c>
      <c r="I47" s="212" t="str">
        <f t="shared" si="12"/>
        <v/>
      </c>
      <c r="J47" s="212" t="str">
        <f t="shared" si="13"/>
        <v/>
      </c>
      <c r="K47" s="210" t="str">
        <f>IF(A47="", "", VLOOKUP(A47, '計算機參數庫'!$B$2:$F$1001, 4, FALSE))</f>
        <v/>
      </c>
      <c r="L47" s="210" t="str">
        <f t="shared" si="14"/>
        <v/>
      </c>
      <c r="M47" s="212" t="str">
        <f>IF(A47="", "", VLOOKUP(A47, '計算機參數庫'!$B$2:$F$1001, 5, FALSE))</f>
        <v/>
      </c>
      <c r="N47" s="212" t="str">
        <f t="shared" si="15"/>
        <v/>
      </c>
      <c r="O47" s="189" t="str">
        <f>IFERROR(__xludf.DUMMYFUNCTION("IFERROR(IF(A47="""", """", I47 / GCD(FILTER($I$17:$I$100, ISNUMBER($I$17:$I$100), $I$17:$I$100&gt;0))), 1)"),"")</f>
        <v/>
      </c>
      <c r="P47" s="187" t="str">
        <f t="shared" si="16"/>
        <v/>
      </c>
      <c r="Q47" s="192"/>
    </row>
    <row r="48">
      <c r="A48" s="229"/>
      <c r="B48" s="229"/>
      <c r="C48" s="230" t="str">
        <f t="array" ref="C48">IF(A48="", "", IFERROR(INDEX('計算機參數庫'!$D$2:$D$1001, MATCH(1, ('計算機參數庫'!$B$2:$B$1001=A48) * (('計算機參數庫'!$A$2:$A$1001=$B$3) + ('計算機參數庫'!$A$2:$A$1001=$B$4) + ('計算機參數庫'!$A$2:$A$1001=$B$5)), 0)), VLOOKUP(A48, '計算機參數庫'!$B$2:$F$1001, 3, FALSE)))</f>
        <v/>
      </c>
      <c r="D48" s="210" t="str">
        <f t="array" ref="D48">IF(A48="", "", IF($B$3="(無)", 0, IFERROR($C$3 / INDEX('計算機參數庫'!$D$2:$D$1001, MATCH(1, ('計算機參數庫'!$A$2:$A$1001=$B$3)*('計算機參數庫'!$B$2:$B$1001=A48), 0)), 0)))</f>
        <v/>
      </c>
      <c r="E48" s="210" t="str">
        <f t="array" ref="E48">IF(A48="", "", IF($B$4="(無)", 0, IFERROR($C$4 / INDEX('計算機參數庫'!$D$2:$D$1001, MATCH(1, ('計算機參數庫'!$A$2:$A$1001=$B$4)*('計算機參數庫'!$B$2:$B$1001=A48), 0)), 0)))</f>
        <v/>
      </c>
      <c r="F48" s="210" t="str">
        <f t="array" ref="F48">IF(A48="", "", IF($B$5="(無)", 0, IFERROR($C$5 / INDEX('計算機參數庫'!$D$2:$D$1001, MATCH(1, ('計算機參數庫'!$A$2:$A$1001=$B$5)*('計算機參數庫'!$B$2:$B$1001=A48), 0)), 0)))</f>
        <v/>
      </c>
      <c r="G48" s="210" t="str">
        <f t="shared" si="10"/>
        <v/>
      </c>
      <c r="H48" s="212" t="str">
        <f t="shared" si="11"/>
        <v/>
      </c>
      <c r="I48" s="212" t="str">
        <f t="shared" si="12"/>
        <v/>
      </c>
      <c r="J48" s="212" t="str">
        <f t="shared" si="13"/>
        <v/>
      </c>
      <c r="K48" s="210" t="str">
        <f>IF(A48="", "", VLOOKUP(A48, '計算機參數庫'!$B$2:$F$1001, 4, FALSE))</f>
        <v/>
      </c>
      <c r="L48" s="210" t="str">
        <f t="shared" si="14"/>
        <v/>
      </c>
      <c r="M48" s="212" t="str">
        <f>IF(A48="", "", VLOOKUP(A48, '計算機參數庫'!$B$2:$F$1001, 5, FALSE))</f>
        <v/>
      </c>
      <c r="N48" s="212" t="str">
        <f t="shared" si="15"/>
        <v/>
      </c>
      <c r="O48" s="189" t="str">
        <f>IFERROR(__xludf.DUMMYFUNCTION("IFERROR(IF(A48="""", """", I48 / GCD(FILTER($I$17:$I$100, ISNUMBER($I$17:$I$100), $I$17:$I$100&gt;0))), 1)"),"")</f>
        <v/>
      </c>
      <c r="P48" s="187" t="str">
        <f t="shared" si="16"/>
        <v/>
      </c>
      <c r="Q48" s="192"/>
    </row>
    <row r="49">
      <c r="A49" s="229"/>
      <c r="B49" s="229"/>
      <c r="C49" s="230" t="str">
        <f t="array" ref="C49">IF(A49="", "", IFERROR(INDEX('計算機參數庫'!$D$2:$D$1001, MATCH(1, ('計算機參數庫'!$B$2:$B$1001=A49) * (('計算機參數庫'!$A$2:$A$1001=$B$3) + ('計算機參數庫'!$A$2:$A$1001=$B$4) + ('計算機參數庫'!$A$2:$A$1001=$B$5)), 0)), VLOOKUP(A49, '計算機參數庫'!$B$2:$F$1001, 3, FALSE)))</f>
        <v/>
      </c>
      <c r="D49" s="210" t="str">
        <f t="array" ref="D49">IF(A49="", "", IF($B$3="(無)", 0, IFERROR($C$3 / INDEX('計算機參數庫'!$D$2:$D$1001, MATCH(1, ('計算機參數庫'!$A$2:$A$1001=$B$3)*('計算機參數庫'!$B$2:$B$1001=A49), 0)), 0)))</f>
        <v/>
      </c>
      <c r="E49" s="210" t="str">
        <f t="array" ref="E49">IF(A49="", "", IF($B$4="(無)", 0, IFERROR($C$4 / INDEX('計算機參數庫'!$D$2:$D$1001, MATCH(1, ('計算機參數庫'!$A$2:$A$1001=$B$4)*('計算機參數庫'!$B$2:$B$1001=A49), 0)), 0)))</f>
        <v/>
      </c>
      <c r="F49" s="210" t="str">
        <f t="array" ref="F49">IF(A49="", "", IF($B$5="(無)", 0, IFERROR($C$5 / INDEX('計算機參數庫'!$D$2:$D$1001, MATCH(1, ('計算機參數庫'!$A$2:$A$1001=$B$5)*('計算機參數庫'!$B$2:$B$1001=A49), 0)), 0)))</f>
        <v/>
      </c>
      <c r="G49" s="210" t="str">
        <f t="shared" si="10"/>
        <v/>
      </c>
      <c r="H49" s="212" t="str">
        <f t="shared" si="11"/>
        <v/>
      </c>
      <c r="I49" s="212" t="str">
        <f t="shared" si="12"/>
        <v/>
      </c>
      <c r="J49" s="212" t="str">
        <f t="shared" si="13"/>
        <v/>
      </c>
      <c r="K49" s="210" t="str">
        <f>IF(A49="", "", VLOOKUP(A49, '計算機參數庫'!$B$2:$F$1001, 4, FALSE))</f>
        <v/>
      </c>
      <c r="L49" s="210" t="str">
        <f t="shared" si="14"/>
        <v/>
      </c>
      <c r="M49" s="212" t="str">
        <f>IF(A49="", "", VLOOKUP(A49, '計算機參數庫'!$B$2:$F$1001, 5, FALSE))</f>
        <v/>
      </c>
      <c r="N49" s="212" t="str">
        <f t="shared" si="15"/>
        <v/>
      </c>
      <c r="O49" s="189" t="str">
        <f>IFERROR(__xludf.DUMMYFUNCTION("IFERROR(IF(A49="""", """", I49 / GCD(FILTER($I$17:$I$100, ISNUMBER($I$17:$I$100), $I$17:$I$100&gt;0))), 1)"),"")</f>
        <v/>
      </c>
      <c r="P49" s="187" t="str">
        <f t="shared" si="16"/>
        <v/>
      </c>
      <c r="Q49" s="192"/>
    </row>
    <row r="50">
      <c r="A50" s="229"/>
      <c r="B50" s="229"/>
      <c r="C50" s="230" t="str">
        <f t="array" ref="C50">IF(A50="", "", IFERROR(INDEX('計算機參數庫'!$D$2:$D$1001, MATCH(1, ('計算機參數庫'!$B$2:$B$1001=A50) * (('計算機參數庫'!$A$2:$A$1001=$B$3) + ('計算機參數庫'!$A$2:$A$1001=$B$4) + ('計算機參數庫'!$A$2:$A$1001=$B$5)), 0)), VLOOKUP(A50, '計算機參數庫'!$B$2:$F$1001, 3, FALSE)))</f>
        <v/>
      </c>
      <c r="D50" s="210" t="str">
        <f t="array" ref="D50">IF(A50="", "", IF($B$3="(無)", 0, IFERROR($C$3 / INDEX('計算機參數庫'!$D$2:$D$1001, MATCH(1, ('計算機參數庫'!$A$2:$A$1001=$B$3)*('計算機參數庫'!$B$2:$B$1001=A50), 0)), 0)))</f>
        <v/>
      </c>
      <c r="E50" s="210" t="str">
        <f t="array" ref="E50">IF(A50="", "", IF($B$4="(無)", 0, IFERROR($C$4 / INDEX('計算機參數庫'!$D$2:$D$1001, MATCH(1, ('計算機參數庫'!$A$2:$A$1001=$B$4)*('計算機參數庫'!$B$2:$B$1001=A50), 0)), 0)))</f>
        <v/>
      </c>
      <c r="F50" s="210" t="str">
        <f t="array" ref="F50">IF(A50="", "", IF($B$5="(無)", 0, IFERROR($C$5 / INDEX('計算機參數庫'!$D$2:$D$1001, MATCH(1, ('計算機參數庫'!$A$2:$A$1001=$B$5)*('計算機參數庫'!$B$2:$B$1001=A50), 0)), 0)))</f>
        <v/>
      </c>
      <c r="G50" s="210" t="str">
        <f t="shared" si="10"/>
        <v/>
      </c>
      <c r="H50" s="212" t="str">
        <f t="shared" si="11"/>
        <v/>
      </c>
      <c r="I50" s="212" t="str">
        <f t="shared" si="12"/>
        <v/>
      </c>
      <c r="J50" s="212" t="str">
        <f t="shared" si="13"/>
        <v/>
      </c>
      <c r="K50" s="210" t="str">
        <f>IF(A50="", "", VLOOKUP(A50, '計算機參數庫'!$B$2:$F$1001, 4, FALSE))</f>
        <v/>
      </c>
      <c r="L50" s="210" t="str">
        <f t="shared" si="14"/>
        <v/>
      </c>
      <c r="M50" s="212" t="str">
        <f>IF(A50="", "", VLOOKUP(A50, '計算機參數庫'!$B$2:$F$1001, 5, FALSE))</f>
        <v/>
      </c>
      <c r="N50" s="212" t="str">
        <f t="shared" si="15"/>
        <v/>
      </c>
      <c r="O50" s="189" t="str">
        <f>IFERROR(__xludf.DUMMYFUNCTION("IFERROR(IF(A50="""", """", I50 / GCD(FILTER($I$17:$I$100, ISNUMBER($I$17:$I$100), $I$17:$I$100&gt;0))), 1)"),"")</f>
        <v/>
      </c>
      <c r="P50" s="187" t="str">
        <f t="shared" si="16"/>
        <v/>
      </c>
      <c r="Q50" s="192"/>
    </row>
    <row r="51">
      <c r="A51" s="229"/>
      <c r="B51" s="229"/>
      <c r="C51" s="230"/>
      <c r="D51" s="210"/>
      <c r="E51" s="210"/>
      <c r="F51" s="210"/>
      <c r="G51" s="210"/>
      <c r="H51" s="212"/>
      <c r="I51" s="212" t="str">
        <f t="shared" si="12"/>
        <v/>
      </c>
      <c r="J51" s="212"/>
      <c r="K51" s="210"/>
      <c r="L51" s="210"/>
      <c r="M51" s="212"/>
      <c r="N51" s="212"/>
      <c r="O51" s="187"/>
      <c r="P51" s="187"/>
      <c r="Q51" s="192"/>
    </row>
    <row r="52">
      <c r="A52" s="229"/>
      <c r="B52" s="229"/>
      <c r="C52" s="230"/>
      <c r="D52" s="210"/>
      <c r="E52" s="210"/>
      <c r="F52" s="210"/>
      <c r="G52" s="210"/>
      <c r="H52" s="212"/>
      <c r="I52" s="212" t="str">
        <f t="shared" si="12"/>
        <v/>
      </c>
      <c r="J52" s="212"/>
      <c r="K52" s="210"/>
      <c r="L52" s="210"/>
      <c r="M52" s="212"/>
      <c r="N52" s="212"/>
      <c r="O52" s="187"/>
      <c r="P52" s="187"/>
      <c r="Q52" s="192"/>
    </row>
    <row r="53">
      <c r="A53" s="229"/>
      <c r="B53" s="229"/>
      <c r="C53" s="230"/>
      <c r="D53" s="210"/>
      <c r="E53" s="210"/>
      <c r="F53" s="210"/>
      <c r="G53" s="210"/>
      <c r="H53" s="212"/>
      <c r="I53" s="212" t="str">
        <f t="shared" si="12"/>
        <v/>
      </c>
      <c r="J53" s="212"/>
      <c r="K53" s="210"/>
      <c r="L53" s="210"/>
      <c r="M53" s="212"/>
      <c r="N53" s="212"/>
      <c r="O53" s="187"/>
      <c r="P53" s="187"/>
      <c r="Q53" s="192"/>
    </row>
    <row r="54">
      <c r="A54" s="229"/>
      <c r="B54" s="229"/>
      <c r="C54" s="230"/>
      <c r="D54" s="210"/>
      <c r="E54" s="210"/>
      <c r="F54" s="210"/>
      <c r="G54" s="210"/>
      <c r="H54" s="212"/>
      <c r="I54" s="212" t="str">
        <f t="shared" si="12"/>
        <v/>
      </c>
      <c r="J54" s="212"/>
      <c r="K54" s="210"/>
      <c r="L54" s="210"/>
      <c r="M54" s="212"/>
      <c r="N54" s="212"/>
      <c r="O54" s="187"/>
      <c r="P54" s="187"/>
      <c r="Q54" s="192"/>
    </row>
    <row r="55">
      <c r="A55" s="229"/>
      <c r="B55" s="229"/>
      <c r="C55" s="230"/>
      <c r="D55" s="210"/>
      <c r="E55" s="210"/>
      <c r="F55" s="210"/>
      <c r="G55" s="210"/>
      <c r="H55" s="212"/>
      <c r="I55" s="212" t="str">
        <f t="shared" si="12"/>
        <v/>
      </c>
      <c r="J55" s="212"/>
      <c r="K55" s="210"/>
      <c r="L55" s="210"/>
      <c r="M55" s="212"/>
      <c r="N55" s="212"/>
      <c r="O55" s="187"/>
      <c r="P55" s="187"/>
      <c r="Q55" s="192"/>
    </row>
    <row r="56">
      <c r="A56" s="229"/>
      <c r="B56" s="229"/>
      <c r="C56" s="230"/>
      <c r="D56" s="210"/>
      <c r="E56" s="210"/>
      <c r="F56" s="210"/>
      <c r="G56" s="210"/>
      <c r="H56" s="212"/>
      <c r="I56" s="212" t="str">
        <f t="shared" si="12"/>
        <v/>
      </c>
      <c r="J56" s="212"/>
      <c r="K56" s="210"/>
      <c r="L56" s="210"/>
      <c r="M56" s="212"/>
      <c r="N56" s="212"/>
      <c r="O56" s="187"/>
      <c r="P56" s="187"/>
      <c r="Q56" s="192"/>
    </row>
    <row r="57">
      <c r="A57" s="229"/>
      <c r="B57" s="229"/>
      <c r="C57" s="230"/>
      <c r="D57" s="210"/>
      <c r="E57" s="210"/>
      <c r="F57" s="210"/>
      <c r="G57" s="210"/>
      <c r="H57" s="212"/>
      <c r="I57" s="212" t="str">
        <f t="shared" si="12"/>
        <v/>
      </c>
      <c r="J57" s="212"/>
      <c r="K57" s="210"/>
      <c r="L57" s="210"/>
      <c r="M57" s="212"/>
      <c r="N57" s="212"/>
      <c r="O57" s="187"/>
      <c r="P57" s="187"/>
      <c r="Q57" s="192"/>
    </row>
    <row r="58">
      <c r="A58" s="229"/>
      <c r="B58" s="229"/>
      <c r="C58" s="230"/>
      <c r="D58" s="210"/>
      <c r="E58" s="210"/>
      <c r="F58" s="210"/>
      <c r="G58" s="210"/>
      <c r="H58" s="212"/>
      <c r="I58" s="212" t="str">
        <f t="shared" si="12"/>
        <v/>
      </c>
      <c r="J58" s="212"/>
      <c r="K58" s="210"/>
      <c r="L58" s="210"/>
      <c r="M58" s="212"/>
      <c r="N58" s="212"/>
      <c r="O58" s="187"/>
      <c r="P58" s="187"/>
      <c r="Q58" s="192"/>
    </row>
    <row r="59">
      <c r="A59" s="229"/>
      <c r="B59" s="229"/>
      <c r="C59" s="230"/>
      <c r="D59" s="210"/>
      <c r="E59" s="210"/>
      <c r="F59" s="210"/>
      <c r="G59" s="210"/>
      <c r="H59" s="212"/>
      <c r="I59" s="212" t="str">
        <f t="shared" si="12"/>
        <v/>
      </c>
      <c r="J59" s="212"/>
      <c r="K59" s="210"/>
      <c r="L59" s="210"/>
      <c r="M59" s="212"/>
      <c r="N59" s="212"/>
      <c r="O59" s="187"/>
      <c r="P59" s="187"/>
      <c r="Q59" s="192"/>
    </row>
    <row r="60">
      <c r="A60" s="229"/>
      <c r="B60" s="229"/>
      <c r="C60" s="230"/>
      <c r="D60" s="210"/>
      <c r="E60" s="210"/>
      <c r="F60" s="210"/>
      <c r="G60" s="210"/>
      <c r="H60" s="212"/>
      <c r="I60" s="212" t="str">
        <f t="shared" si="12"/>
        <v/>
      </c>
      <c r="J60" s="212"/>
      <c r="K60" s="210"/>
      <c r="L60" s="210"/>
      <c r="M60" s="212"/>
      <c r="N60" s="212"/>
      <c r="O60" s="187"/>
      <c r="P60" s="187"/>
      <c r="Q60" s="192"/>
    </row>
    <row r="61">
      <c r="A61" s="229"/>
      <c r="B61" s="229"/>
      <c r="C61" s="230"/>
      <c r="D61" s="210"/>
      <c r="E61" s="210"/>
      <c r="F61" s="210"/>
      <c r="G61" s="210"/>
      <c r="H61" s="212"/>
      <c r="I61" s="212" t="str">
        <f t="shared" si="12"/>
        <v/>
      </c>
      <c r="J61" s="212"/>
      <c r="K61" s="210"/>
      <c r="L61" s="210"/>
      <c r="M61" s="212"/>
      <c r="N61" s="212"/>
      <c r="O61" s="187"/>
      <c r="P61" s="187"/>
      <c r="Q61" s="192"/>
    </row>
    <row r="62">
      <c r="A62" s="229"/>
      <c r="B62" s="229"/>
      <c r="C62" s="230"/>
      <c r="D62" s="210"/>
      <c r="E62" s="210"/>
      <c r="F62" s="210"/>
      <c r="G62" s="210"/>
      <c r="H62" s="212"/>
      <c r="I62" s="212" t="str">
        <f t="shared" si="12"/>
        <v/>
      </c>
      <c r="J62" s="212"/>
      <c r="K62" s="210"/>
      <c r="L62" s="210"/>
      <c r="M62" s="212"/>
      <c r="N62" s="212"/>
      <c r="O62" s="187"/>
      <c r="P62" s="187"/>
      <c r="Q62" s="192"/>
    </row>
    <row r="63">
      <c r="A63" s="229"/>
      <c r="B63" s="229"/>
      <c r="C63" s="230"/>
      <c r="D63" s="210"/>
      <c r="E63" s="210"/>
      <c r="F63" s="210"/>
      <c r="G63" s="210"/>
      <c r="H63" s="212"/>
      <c r="I63" s="212" t="str">
        <f t="shared" si="12"/>
        <v/>
      </c>
      <c r="J63" s="212"/>
      <c r="K63" s="210"/>
      <c r="L63" s="210"/>
      <c r="M63" s="212"/>
      <c r="N63" s="212"/>
      <c r="O63" s="187"/>
      <c r="P63" s="187"/>
      <c r="Q63" s="192"/>
    </row>
    <row r="64">
      <c r="A64" s="229"/>
      <c r="B64" s="229"/>
      <c r="C64" s="230"/>
      <c r="D64" s="210"/>
      <c r="E64" s="210"/>
      <c r="F64" s="210"/>
      <c r="G64" s="210"/>
      <c r="H64" s="212"/>
      <c r="I64" s="212" t="str">
        <f t="shared" si="12"/>
        <v/>
      </c>
      <c r="J64" s="212"/>
      <c r="K64" s="210"/>
      <c r="L64" s="210"/>
      <c r="M64" s="212"/>
      <c r="N64" s="212"/>
      <c r="O64" s="187"/>
      <c r="P64" s="187"/>
      <c r="Q64" s="192"/>
    </row>
    <row r="65">
      <c r="A65" s="229"/>
      <c r="B65" s="229"/>
      <c r="C65" s="230"/>
      <c r="D65" s="210"/>
      <c r="E65" s="210"/>
      <c r="F65" s="210"/>
      <c r="G65" s="210"/>
      <c r="H65" s="212"/>
      <c r="I65" s="212" t="str">
        <f t="shared" si="12"/>
        <v/>
      </c>
      <c r="J65" s="212"/>
      <c r="K65" s="210"/>
      <c r="L65" s="210"/>
      <c r="M65" s="212"/>
      <c r="N65" s="212"/>
      <c r="O65" s="187"/>
      <c r="P65" s="187"/>
      <c r="Q65" s="192"/>
    </row>
    <row r="66">
      <c r="A66" s="229"/>
      <c r="B66" s="229"/>
      <c r="C66" s="230"/>
      <c r="D66" s="210"/>
      <c r="E66" s="210"/>
      <c r="F66" s="210"/>
      <c r="G66" s="210"/>
      <c r="H66" s="212"/>
      <c r="I66" s="212" t="str">
        <f t="shared" si="12"/>
        <v/>
      </c>
      <c r="J66" s="212"/>
      <c r="K66" s="210"/>
      <c r="L66" s="210"/>
      <c r="M66" s="212"/>
      <c r="N66" s="212"/>
      <c r="O66" s="187"/>
      <c r="P66" s="187"/>
      <c r="Q66" s="192"/>
    </row>
    <row r="67">
      <c r="A67" s="229"/>
      <c r="B67" s="229"/>
      <c r="C67" s="230"/>
      <c r="D67" s="210"/>
      <c r="E67" s="210"/>
      <c r="F67" s="210"/>
      <c r="G67" s="210"/>
      <c r="H67" s="212"/>
      <c r="I67" s="212" t="str">
        <f t="shared" si="12"/>
        <v/>
      </c>
      <c r="J67" s="212"/>
      <c r="K67" s="210"/>
      <c r="L67" s="210"/>
      <c r="M67" s="212"/>
      <c r="N67" s="212"/>
      <c r="O67" s="187"/>
      <c r="P67" s="187"/>
      <c r="Q67" s="192"/>
    </row>
    <row r="68">
      <c r="A68" s="229"/>
      <c r="B68" s="229"/>
      <c r="C68" s="230"/>
      <c r="D68" s="210"/>
      <c r="E68" s="210"/>
      <c r="F68" s="210"/>
      <c r="G68" s="210"/>
      <c r="H68" s="212"/>
      <c r="I68" s="212" t="str">
        <f t="shared" si="12"/>
        <v/>
      </c>
      <c r="J68" s="212"/>
      <c r="K68" s="210"/>
      <c r="L68" s="210"/>
      <c r="M68" s="212"/>
      <c r="N68" s="212"/>
      <c r="O68" s="187"/>
      <c r="P68" s="187"/>
      <c r="Q68" s="192"/>
    </row>
    <row r="69">
      <c r="A69" s="229"/>
      <c r="B69" s="229"/>
      <c r="C69" s="230"/>
      <c r="D69" s="210"/>
      <c r="E69" s="210"/>
      <c r="F69" s="210"/>
      <c r="G69" s="210"/>
      <c r="H69" s="212"/>
      <c r="I69" s="212" t="str">
        <f t="shared" si="12"/>
        <v/>
      </c>
      <c r="J69" s="212"/>
      <c r="K69" s="210"/>
      <c r="L69" s="210"/>
      <c r="M69" s="212"/>
      <c r="N69" s="212"/>
      <c r="O69" s="187"/>
      <c r="P69" s="187"/>
      <c r="Q69" s="192"/>
    </row>
    <row r="70">
      <c r="A70" s="229"/>
      <c r="B70" s="229"/>
      <c r="C70" s="230"/>
      <c r="D70" s="210"/>
      <c r="E70" s="210"/>
      <c r="F70" s="210"/>
      <c r="G70" s="210"/>
      <c r="H70" s="212"/>
      <c r="I70" s="212" t="str">
        <f t="shared" si="12"/>
        <v/>
      </c>
      <c r="J70" s="212"/>
      <c r="K70" s="210"/>
      <c r="L70" s="210"/>
      <c r="M70" s="212"/>
      <c r="N70" s="212"/>
      <c r="O70" s="187"/>
      <c r="P70" s="187"/>
      <c r="Q70" s="192"/>
    </row>
    <row r="71">
      <c r="A71" s="229"/>
      <c r="B71" s="229"/>
      <c r="C71" s="230"/>
      <c r="D71" s="210"/>
      <c r="E71" s="210"/>
      <c r="F71" s="210"/>
      <c r="G71" s="210"/>
      <c r="H71" s="212"/>
      <c r="I71" s="212" t="str">
        <f t="shared" si="12"/>
        <v/>
      </c>
      <c r="J71" s="212"/>
      <c r="K71" s="210"/>
      <c r="L71" s="210"/>
      <c r="M71" s="212"/>
      <c r="N71" s="212"/>
      <c r="O71" s="187"/>
      <c r="P71" s="187"/>
      <c r="Q71" s="192"/>
    </row>
    <row r="72">
      <c r="A72" s="229"/>
      <c r="B72" s="229"/>
      <c r="C72" s="230"/>
      <c r="D72" s="210"/>
      <c r="E72" s="210"/>
      <c r="F72" s="210"/>
      <c r="G72" s="210"/>
      <c r="H72" s="212"/>
      <c r="I72" s="212" t="str">
        <f t="shared" si="12"/>
        <v/>
      </c>
      <c r="J72" s="212"/>
      <c r="K72" s="210"/>
      <c r="L72" s="210"/>
      <c r="M72" s="212"/>
      <c r="N72" s="212"/>
      <c r="O72" s="187"/>
      <c r="P72" s="187"/>
      <c r="Q72" s="192"/>
    </row>
    <row r="73">
      <c r="A73" s="229"/>
      <c r="B73" s="229"/>
      <c r="C73" s="230"/>
      <c r="D73" s="210"/>
      <c r="E73" s="210"/>
      <c r="F73" s="210"/>
      <c r="G73" s="210"/>
      <c r="H73" s="212"/>
      <c r="I73" s="212" t="str">
        <f t="shared" si="12"/>
        <v/>
      </c>
      <c r="J73" s="212"/>
      <c r="K73" s="210"/>
      <c r="L73" s="210"/>
      <c r="M73" s="212"/>
      <c r="N73" s="212"/>
      <c r="O73" s="187"/>
      <c r="P73" s="187"/>
      <c r="Q73" s="192"/>
    </row>
    <row r="74">
      <c r="A74" s="229"/>
      <c r="B74" s="229"/>
      <c r="C74" s="230"/>
      <c r="D74" s="210"/>
      <c r="E74" s="210"/>
      <c r="F74" s="210"/>
      <c r="G74" s="210"/>
      <c r="H74" s="212"/>
      <c r="I74" s="212" t="str">
        <f t="shared" si="12"/>
        <v/>
      </c>
      <c r="J74" s="212"/>
      <c r="K74" s="210"/>
      <c r="L74" s="210"/>
      <c r="M74" s="212"/>
      <c r="N74" s="212"/>
      <c r="O74" s="187"/>
      <c r="P74" s="187"/>
      <c r="Q74" s="192"/>
    </row>
    <row r="75">
      <c r="A75" s="229"/>
      <c r="B75" s="229"/>
      <c r="C75" s="230"/>
      <c r="D75" s="210"/>
      <c r="E75" s="210"/>
      <c r="F75" s="210"/>
      <c r="G75" s="210"/>
      <c r="H75" s="212"/>
      <c r="I75" s="212" t="str">
        <f t="shared" si="12"/>
        <v/>
      </c>
      <c r="J75" s="212"/>
      <c r="K75" s="210"/>
      <c r="L75" s="210"/>
      <c r="M75" s="212"/>
      <c r="N75" s="212"/>
      <c r="O75" s="187"/>
      <c r="P75" s="187"/>
      <c r="Q75" s="192"/>
    </row>
    <row r="76">
      <c r="A76" s="229"/>
      <c r="B76" s="229"/>
      <c r="C76" s="230"/>
      <c r="D76" s="210"/>
      <c r="E76" s="210"/>
      <c r="F76" s="210"/>
      <c r="G76" s="210"/>
      <c r="H76" s="212"/>
      <c r="I76" s="212" t="str">
        <f t="shared" si="12"/>
        <v/>
      </c>
      <c r="J76" s="212"/>
      <c r="K76" s="210"/>
      <c r="L76" s="210"/>
      <c r="M76" s="212"/>
      <c r="N76" s="212"/>
      <c r="O76" s="187"/>
      <c r="P76" s="187"/>
      <c r="Q76" s="192"/>
    </row>
    <row r="77">
      <c r="A77" s="229"/>
      <c r="B77" s="229"/>
      <c r="C77" s="230"/>
      <c r="D77" s="210"/>
      <c r="E77" s="210"/>
      <c r="F77" s="210"/>
      <c r="G77" s="210"/>
      <c r="H77" s="212"/>
      <c r="I77" s="212" t="str">
        <f t="shared" si="12"/>
        <v/>
      </c>
      <c r="J77" s="212"/>
      <c r="K77" s="210"/>
      <c r="L77" s="210"/>
      <c r="M77" s="212"/>
      <c r="N77" s="212"/>
      <c r="O77" s="187"/>
      <c r="P77" s="187"/>
      <c r="Q77" s="192"/>
    </row>
    <row r="78">
      <c r="A78" s="229"/>
      <c r="B78" s="229"/>
      <c r="C78" s="230"/>
      <c r="D78" s="210"/>
      <c r="E78" s="210"/>
      <c r="F78" s="210"/>
      <c r="G78" s="210"/>
      <c r="H78" s="212"/>
      <c r="I78" s="212" t="str">
        <f t="shared" si="12"/>
        <v/>
      </c>
      <c r="J78" s="212"/>
      <c r="K78" s="210"/>
      <c r="L78" s="210"/>
      <c r="M78" s="212"/>
      <c r="N78" s="212"/>
      <c r="O78" s="187"/>
      <c r="P78" s="187"/>
      <c r="Q78" s="192"/>
    </row>
    <row r="79">
      <c r="A79" s="229"/>
      <c r="B79" s="229"/>
      <c r="C79" s="230"/>
      <c r="D79" s="210"/>
      <c r="E79" s="210"/>
      <c r="F79" s="210"/>
      <c r="G79" s="210"/>
      <c r="H79" s="212"/>
      <c r="I79" s="212" t="str">
        <f t="shared" si="12"/>
        <v/>
      </c>
      <c r="J79" s="212"/>
      <c r="K79" s="210"/>
      <c r="L79" s="210"/>
      <c r="M79" s="212"/>
      <c r="N79" s="212"/>
      <c r="O79" s="187"/>
      <c r="P79" s="187"/>
      <c r="Q79" s="192"/>
    </row>
    <row r="80">
      <c r="A80" s="229"/>
      <c r="B80" s="229"/>
      <c r="C80" s="230"/>
      <c r="D80" s="210"/>
      <c r="E80" s="210"/>
      <c r="F80" s="210"/>
      <c r="G80" s="210"/>
      <c r="H80" s="212"/>
      <c r="I80" s="212" t="str">
        <f t="shared" si="12"/>
        <v/>
      </c>
      <c r="J80" s="212"/>
      <c r="K80" s="210"/>
      <c r="L80" s="210"/>
      <c r="M80" s="212"/>
      <c r="N80" s="212"/>
      <c r="O80" s="187"/>
      <c r="P80" s="187"/>
      <c r="Q80" s="192"/>
    </row>
    <row r="81">
      <c r="A81" s="229"/>
      <c r="B81" s="229"/>
      <c r="C81" s="230"/>
      <c r="D81" s="210"/>
      <c r="E81" s="210"/>
      <c r="F81" s="210"/>
      <c r="G81" s="210"/>
      <c r="H81" s="212"/>
      <c r="I81" s="212" t="str">
        <f t="shared" si="12"/>
        <v/>
      </c>
      <c r="J81" s="212"/>
      <c r="K81" s="210"/>
      <c r="L81" s="210"/>
      <c r="M81" s="212"/>
      <c r="N81" s="212"/>
      <c r="O81" s="187"/>
      <c r="P81" s="187"/>
      <c r="Q81" s="192"/>
    </row>
    <row r="82">
      <c r="A82" s="229"/>
      <c r="B82" s="229"/>
      <c r="C82" s="230"/>
      <c r="D82" s="210"/>
      <c r="E82" s="210"/>
      <c r="F82" s="210"/>
      <c r="G82" s="210"/>
      <c r="H82" s="212"/>
      <c r="I82" s="212" t="str">
        <f t="shared" si="12"/>
        <v/>
      </c>
      <c r="J82" s="212"/>
      <c r="K82" s="210"/>
      <c r="L82" s="210"/>
      <c r="M82" s="212"/>
      <c r="N82" s="212"/>
      <c r="O82" s="187"/>
      <c r="P82" s="187"/>
      <c r="Q82" s="192"/>
    </row>
    <row r="83">
      <c r="A83" s="229"/>
      <c r="B83" s="229"/>
      <c r="C83" s="230"/>
      <c r="D83" s="210"/>
      <c r="E83" s="210"/>
      <c r="F83" s="210"/>
      <c r="G83" s="210"/>
      <c r="H83" s="212"/>
      <c r="I83" s="212" t="str">
        <f t="shared" si="12"/>
        <v/>
      </c>
      <c r="J83" s="212"/>
      <c r="K83" s="210"/>
      <c r="L83" s="210"/>
      <c r="M83" s="212"/>
      <c r="N83" s="212"/>
      <c r="O83" s="187"/>
      <c r="P83" s="187"/>
      <c r="Q83" s="192"/>
    </row>
    <row r="84">
      <c r="A84" s="229"/>
      <c r="B84" s="229"/>
      <c r="C84" s="230"/>
      <c r="D84" s="210"/>
      <c r="E84" s="210"/>
      <c r="F84" s="210"/>
      <c r="G84" s="210"/>
      <c r="H84" s="212"/>
      <c r="I84" s="212" t="str">
        <f t="shared" si="12"/>
        <v/>
      </c>
      <c r="J84" s="212"/>
      <c r="K84" s="210"/>
      <c r="L84" s="210"/>
      <c r="M84" s="212"/>
      <c r="N84" s="212"/>
      <c r="O84" s="187"/>
      <c r="P84" s="187"/>
      <c r="Q84" s="192"/>
    </row>
    <row r="85">
      <c r="A85" s="187"/>
      <c r="B85" s="187"/>
      <c r="C85" s="188"/>
      <c r="D85" s="191"/>
      <c r="E85" s="191"/>
      <c r="F85" s="191"/>
      <c r="G85" s="191"/>
      <c r="H85" s="189"/>
      <c r="I85" s="189" t="str">
        <f t="shared" si="12"/>
        <v/>
      </c>
      <c r="J85" s="189"/>
      <c r="K85" s="191"/>
      <c r="L85" s="191"/>
      <c r="M85" s="189"/>
      <c r="N85" s="189"/>
      <c r="O85" s="187"/>
      <c r="P85" s="187"/>
      <c r="Q85" s="192"/>
    </row>
    <row r="86">
      <c r="A86" s="187"/>
      <c r="B86" s="187"/>
      <c r="C86" s="188"/>
      <c r="D86" s="191"/>
      <c r="E86" s="191"/>
      <c r="F86" s="191"/>
      <c r="G86" s="191"/>
      <c r="H86" s="189"/>
      <c r="I86" s="189" t="str">
        <f t="shared" si="12"/>
        <v/>
      </c>
      <c r="J86" s="189"/>
      <c r="K86" s="191"/>
      <c r="L86" s="191"/>
      <c r="M86" s="189"/>
      <c r="N86" s="189"/>
      <c r="O86" s="187"/>
      <c r="P86" s="187"/>
      <c r="Q86" s="192"/>
    </row>
    <row r="87">
      <c r="A87" s="187"/>
      <c r="B87" s="187"/>
      <c r="C87" s="188"/>
      <c r="D87" s="191"/>
      <c r="E87" s="191"/>
      <c r="F87" s="191"/>
      <c r="G87" s="191"/>
      <c r="H87" s="189"/>
      <c r="I87" s="189" t="str">
        <f t="shared" si="12"/>
        <v/>
      </c>
      <c r="J87" s="189"/>
      <c r="K87" s="191"/>
      <c r="L87" s="191"/>
      <c r="M87" s="189"/>
      <c r="N87" s="189"/>
      <c r="O87" s="187"/>
      <c r="P87" s="187"/>
      <c r="Q87" s="192"/>
    </row>
    <row r="88">
      <c r="A88" s="187"/>
      <c r="B88" s="187"/>
      <c r="C88" s="188"/>
      <c r="D88" s="191"/>
      <c r="E88" s="191"/>
      <c r="F88" s="191"/>
      <c r="G88" s="191"/>
      <c r="H88" s="189"/>
      <c r="I88" s="189" t="str">
        <f t="shared" si="12"/>
        <v/>
      </c>
      <c r="J88" s="189"/>
      <c r="K88" s="191"/>
      <c r="L88" s="191"/>
      <c r="M88" s="189"/>
      <c r="N88" s="189"/>
      <c r="O88" s="187"/>
      <c r="P88" s="187"/>
      <c r="Q88" s="192"/>
    </row>
    <row r="89">
      <c r="A89" s="187"/>
      <c r="B89" s="187"/>
      <c r="C89" s="188"/>
      <c r="D89" s="191"/>
      <c r="E89" s="191"/>
      <c r="F89" s="191"/>
      <c r="G89" s="191"/>
      <c r="H89" s="189"/>
      <c r="I89" s="189" t="str">
        <f t="shared" si="12"/>
        <v/>
      </c>
      <c r="J89" s="189"/>
      <c r="K89" s="191"/>
      <c r="L89" s="191"/>
      <c r="M89" s="189"/>
      <c r="N89" s="189"/>
      <c r="O89" s="187"/>
      <c r="P89" s="187"/>
      <c r="Q89" s="192"/>
    </row>
    <row r="90">
      <c r="A90" s="187"/>
      <c r="B90" s="187"/>
      <c r="C90" s="188"/>
      <c r="D90" s="191"/>
      <c r="E90" s="191"/>
      <c r="F90" s="191"/>
      <c r="G90" s="191"/>
      <c r="H90" s="189"/>
      <c r="I90" s="189" t="str">
        <f t="shared" si="12"/>
        <v/>
      </c>
      <c r="J90" s="189"/>
      <c r="K90" s="191"/>
      <c r="L90" s="191"/>
      <c r="M90" s="189"/>
      <c r="N90" s="189"/>
      <c r="O90" s="187"/>
      <c r="P90" s="187"/>
      <c r="Q90" s="192"/>
    </row>
    <row r="91">
      <c r="A91" s="187"/>
      <c r="B91" s="187"/>
      <c r="C91" s="188"/>
      <c r="D91" s="191"/>
      <c r="E91" s="191"/>
      <c r="F91" s="191"/>
      <c r="G91" s="191"/>
      <c r="H91" s="189"/>
      <c r="I91" s="189" t="str">
        <f t="shared" si="12"/>
        <v/>
      </c>
      <c r="J91" s="189"/>
      <c r="K91" s="191"/>
      <c r="L91" s="191"/>
      <c r="M91" s="189"/>
      <c r="N91" s="189"/>
      <c r="O91" s="187"/>
      <c r="P91" s="187"/>
      <c r="Q91" s="192"/>
    </row>
    <row r="92">
      <c r="A92" s="187"/>
      <c r="B92" s="187"/>
      <c r="C92" s="188"/>
      <c r="D92" s="191"/>
      <c r="E92" s="191"/>
      <c r="F92" s="191"/>
      <c r="G92" s="191"/>
      <c r="H92" s="189"/>
      <c r="I92" s="189" t="str">
        <f t="shared" si="12"/>
        <v/>
      </c>
      <c r="J92" s="189"/>
      <c r="K92" s="191"/>
      <c r="L92" s="191"/>
      <c r="M92" s="189"/>
      <c r="N92" s="189"/>
      <c r="O92" s="187"/>
      <c r="P92" s="187"/>
      <c r="Q92" s="192"/>
    </row>
    <row r="93">
      <c r="A93" s="187"/>
      <c r="B93" s="187"/>
      <c r="C93" s="188"/>
      <c r="D93" s="191"/>
      <c r="E93" s="191"/>
      <c r="F93" s="191"/>
      <c r="G93" s="191"/>
      <c r="H93" s="189"/>
      <c r="I93" s="189" t="str">
        <f t="shared" si="12"/>
        <v/>
      </c>
      <c r="J93" s="189"/>
      <c r="K93" s="191"/>
      <c r="L93" s="191"/>
      <c r="M93" s="189"/>
      <c r="N93" s="189"/>
      <c r="O93" s="187"/>
      <c r="P93" s="187"/>
      <c r="Q93" s="192"/>
    </row>
    <row r="94">
      <c r="A94" s="187"/>
      <c r="B94" s="187"/>
      <c r="C94" s="188"/>
      <c r="D94" s="191"/>
      <c r="E94" s="191"/>
      <c r="F94" s="191"/>
      <c r="G94" s="191"/>
      <c r="H94" s="189"/>
      <c r="I94" s="189" t="str">
        <f t="shared" si="12"/>
        <v/>
      </c>
      <c r="J94" s="189"/>
      <c r="K94" s="191"/>
      <c r="L94" s="191"/>
      <c r="M94" s="189"/>
      <c r="N94" s="189"/>
      <c r="O94" s="187"/>
      <c r="P94" s="187"/>
      <c r="Q94" s="192"/>
    </row>
    <row r="95">
      <c r="A95" s="187"/>
      <c r="B95" s="187"/>
      <c r="C95" s="188"/>
      <c r="D95" s="191"/>
      <c r="E95" s="191"/>
      <c r="F95" s="191"/>
      <c r="G95" s="191"/>
      <c r="H95" s="189"/>
      <c r="I95" s="189" t="str">
        <f t="shared" si="12"/>
        <v/>
      </c>
      <c r="J95" s="189"/>
      <c r="K95" s="191"/>
      <c r="L95" s="191"/>
      <c r="M95" s="189"/>
      <c r="N95" s="189"/>
      <c r="O95" s="187"/>
      <c r="P95" s="187"/>
      <c r="Q95" s="192"/>
    </row>
    <row r="96">
      <c r="A96" s="187"/>
      <c r="B96" s="187"/>
      <c r="C96" s="188"/>
      <c r="D96" s="191"/>
      <c r="E96" s="191"/>
      <c r="F96" s="191"/>
      <c r="G96" s="191"/>
      <c r="H96" s="189"/>
      <c r="I96" s="189" t="str">
        <f t="shared" si="12"/>
        <v/>
      </c>
      <c r="J96" s="189"/>
      <c r="K96" s="191"/>
      <c r="L96" s="191"/>
      <c r="M96" s="189"/>
      <c r="N96" s="189"/>
      <c r="O96" s="187"/>
      <c r="P96" s="187"/>
      <c r="Q96" s="192"/>
    </row>
    <row r="97">
      <c r="A97" s="187"/>
      <c r="B97" s="187"/>
      <c r="C97" s="188"/>
      <c r="D97" s="191"/>
      <c r="E97" s="191"/>
      <c r="F97" s="191"/>
      <c r="G97" s="191"/>
      <c r="H97" s="189"/>
      <c r="I97" s="189" t="str">
        <f t="shared" si="12"/>
        <v/>
      </c>
      <c r="J97" s="189"/>
      <c r="K97" s="191"/>
      <c r="L97" s="191"/>
      <c r="M97" s="189"/>
      <c r="N97" s="189"/>
      <c r="O97" s="187"/>
      <c r="P97" s="187"/>
      <c r="Q97" s="192"/>
    </row>
    <row r="98">
      <c r="A98" s="187"/>
      <c r="B98" s="187"/>
      <c r="C98" s="188"/>
      <c r="D98" s="191"/>
      <c r="E98" s="191"/>
      <c r="F98" s="191"/>
      <c r="G98" s="191"/>
      <c r="H98" s="189"/>
      <c r="I98" s="189" t="str">
        <f t="shared" si="12"/>
        <v/>
      </c>
      <c r="J98" s="189"/>
      <c r="K98" s="191"/>
      <c r="L98" s="191"/>
      <c r="M98" s="189"/>
      <c r="N98" s="189"/>
      <c r="O98" s="187"/>
      <c r="P98" s="187"/>
      <c r="Q98" s="192"/>
    </row>
    <row r="99">
      <c r="A99" s="187"/>
      <c r="B99" s="187"/>
      <c r="C99" s="188"/>
      <c r="D99" s="191"/>
      <c r="E99" s="191"/>
      <c r="F99" s="191"/>
      <c r="G99" s="191"/>
      <c r="H99" s="189"/>
      <c r="I99" s="189" t="str">
        <f t="shared" si="12"/>
        <v/>
      </c>
      <c r="J99" s="189"/>
      <c r="K99" s="191"/>
      <c r="L99" s="191"/>
      <c r="M99" s="189"/>
      <c r="N99" s="189"/>
      <c r="O99" s="187"/>
      <c r="P99" s="187"/>
      <c r="Q99" s="192"/>
    </row>
    <row r="100">
      <c r="A100" s="187"/>
      <c r="B100" s="187"/>
      <c r="C100" s="188"/>
      <c r="D100" s="191"/>
      <c r="E100" s="191"/>
      <c r="F100" s="191"/>
      <c r="G100" s="191"/>
      <c r="H100" s="189"/>
      <c r="I100" s="189" t="str">
        <f t="shared" si="12"/>
        <v/>
      </c>
      <c r="J100" s="189"/>
      <c r="K100" s="191"/>
      <c r="L100" s="191"/>
      <c r="M100" s="189"/>
      <c r="N100" s="189"/>
      <c r="O100" s="187"/>
      <c r="P100" s="187"/>
      <c r="Q100" s="192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</row>
  </sheetData>
  <mergeCells count="6">
    <mergeCell ref="A1:F1"/>
    <mergeCell ref="A7:D7"/>
    <mergeCell ref="E7:G7"/>
    <mergeCell ref="H7:L7"/>
    <mergeCell ref="M7:Q7"/>
    <mergeCell ref="A15:P15"/>
  </mergeCells>
  <dataValidations>
    <dataValidation type="list" allowBlank="1" sqref="F2">
      <formula1>"二級超頻 (16 FV/s),一級常規 (4 FV/s)"</formula1>
    </dataValidation>
    <dataValidation type="list" allowBlank="1" showErrorMessage="1" sqref="B3:B5">
      <formula1>'計算機參數庫'!$N$2:$N$100</formula1>
    </dataValidation>
  </dataValidations>
  <drawing r:id="rId1"/>
</worksheet>
</file>